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Journey Analysis" sheetId="5" state="visible" r:id="rId5"/>
    <sheet xmlns:r="http://schemas.openxmlformats.org/officeDocument/2006/relationships" name="Servicing Detail" sheetId="6" state="visible" r:id="rId6"/>
    <sheet xmlns:r="http://schemas.openxmlformats.org/officeDocument/2006/relationships" name="Model Inputs" sheetId="7" state="visible" r:id="rId7"/>
    <sheet xmlns:r="http://schemas.openxmlformats.org/officeDocument/2006/relationships" name="Scenario Data" sheetId="8" state="visible" r:id="rId8"/>
    <sheet xmlns:r="http://schemas.openxmlformats.org/officeDocument/2006/relationships" name="Bank Profile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Data Gaps" sheetId="11" state="visible" r:id="rId11"/>
  </sheets>
  <definedNames>
    <definedName name="ScenarioIndex">'Cashflows'!$C$5</definedName>
    <definedName name="DiscountRate">'Model Inputs'!$C11</definedName>
    <definedName name="License_Y1">'Model Inputs'!$C144</definedName>
    <definedName name="Impl_Y1">'Model Inputs'!$C151</definedName>
    <definedName name="License_Y2">'Model Inputs'!$C145</definedName>
    <definedName name="Impl_Y2">'Model Inputs'!$C152</definedName>
    <definedName name="License_Y3">'Model Inputs'!$C146</definedName>
    <definedName name="Impl_Y3">'Model Inputs'!$C153</definedName>
    <definedName name="License_Y4">'Model Inputs'!$C147</definedName>
    <definedName name="Impl_Y4">'Model Inputs'!$C154</definedName>
    <definedName name="License_Y5">'Model Inputs'!$C148</definedName>
    <definedName name="Impl_Y5">'Model Inputs'!$C155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3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b val="1"/>
      <sz val="10"/>
    </font>
    <font>
      <sz val="9"/>
    </font>
    <font>
      <b val="1"/>
      <color rgb="0000B386"/>
    </font>
    <font>
      <i val="1"/>
    </font>
    <font>
      <b val="1"/>
      <color rgb="001A56FF"/>
      <sz val="13"/>
    </font>
    <font>
      <b val="1"/>
      <color rgb="0000B386"/>
      <sz val="10"/>
    </font>
    <font>
      <b val="1"/>
      <sz val="11"/>
    </font>
    <font>
      <color rgb="0000B386"/>
      <sz val="9"/>
    </font>
    <font>
      <b val="1"/>
      <color rgb="001A56FF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b val="1"/>
      <color rgb="001A56FF"/>
      <sz val="14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5" fillId="3" borderId="0" pivotButton="0" quotePrefix="0" xfId="0"/>
    <xf numFmtId="0" fontId="27" fillId="0" borderId="0" pivotButton="0" quotePrefix="0" xfId="0"/>
    <xf numFmtId="0" fontId="11" fillId="2" borderId="0" applyAlignment="1" pivotButton="0" quotePrefix="0" xfId="0">
      <alignment horizontal="center"/>
    </xf>
    <xf numFmtId="0" fontId="18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28" fillId="0" borderId="0" pivotButton="0" quotePrefix="0" xfId="0"/>
    <xf numFmtId="0" fontId="25" fillId="0" borderId="0" pivotButton="0" quotePrefix="0" xfId="0"/>
    <xf numFmtId="165" fontId="25" fillId="0" borderId="0" pivotButton="0" quotePrefix="0" xfId="0"/>
    <xf numFmtId="0" fontId="29" fillId="0" borderId="0" pivotButton="0" quotePrefix="0" xfId="0"/>
    <xf numFmtId="164" fontId="0" fillId="0" borderId="0" pivotButton="0" quotePrefix="0" xfId="0"/>
    <xf numFmtId="164" fontId="26" fillId="0" borderId="0" pivotButton="0" quotePrefix="0" xfId="0"/>
    <xf numFmtId="164" fontId="25" fillId="0" borderId="0" pivotButton="0" quotePrefix="0" xfId="0"/>
    <xf numFmtId="166" fontId="25" fillId="0" borderId="0" pivotButton="0" quotePrefix="0" xfId="0"/>
    <xf numFmtId="165" fontId="2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3" fontId="0" fillId="0" borderId="0" pivotButton="0" quotePrefix="0" xfId="0"/>
    <xf numFmtId="0" fontId="17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22" fillId="0" borderId="0" pivotButton="0" quotePrefix="0" xfId="0"/>
    <xf numFmtId="3" fontId="14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26" fillId="0" borderId="0" pivotButton="0" quotePrefix="0" xfId="0"/>
    <xf numFmtId="0" fontId="19" fillId="0" borderId="0" pivotButton="0" quotePrefix="0" xfId="0"/>
    <xf numFmtId="164" fontId="0" fillId="3" borderId="0" pivotButton="0" quotePrefix="0" xfId="0"/>
    <xf numFmtId="0" fontId="16" fillId="0" borderId="0" pivotButton="0" quotePrefix="0" xfId="0"/>
    <xf numFmtId="3" fontId="18" fillId="0" borderId="0" pivotButton="0" quotePrefix="0" xfId="0"/>
    <xf numFmtId="165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  <xf numFmtId="3" fontId="0" fillId="4" borderId="0" pivotButton="0" quotePrefix="0" xfId="0"/>
    <xf numFmtId="0" fontId="6" fillId="7" borderId="0" pivotButton="0" quotePrefix="0" xfId="0"/>
    <xf numFmtId="0" fontId="30" fillId="0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Navy Federal Investment Services (NFIS)</t>
        </is>
      </c>
    </row>
    <row r="12">
      <c r="B12" s="3" t="inlineStr">
        <is>
          <t>Date:</t>
        </is>
      </c>
      <c r="C12" t="inlineStr">
        <is>
          <t>2026-04-08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2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Servicing Detail — task-level breakdown</t>
        </is>
      </c>
    </row>
    <row r="8">
      <c r="B8" s="11" t="inlineStr"/>
      <c r="C8" t="inlineStr">
        <is>
          <t xml:space="preserve">  Lever: Banking-to-DI Cross-Sell Activation</t>
        </is>
      </c>
    </row>
    <row r="9">
      <c r="B9" s="11" t="inlineStr"/>
      <c r="C9" t="inlineStr">
        <is>
          <t xml:space="preserve">  Lever: Onboarding-to-Funding Funnel Recovery</t>
        </is>
      </c>
    </row>
    <row r="10">
      <c r="B10" s="11" t="inlineStr"/>
      <c r="C10" t="inlineStr">
        <is>
          <t xml:space="preserve">  Lever: AUM Growth via Digital Engagement</t>
        </is>
      </c>
    </row>
    <row r="11">
      <c r="B11" s="11" t="inlineStr"/>
      <c r="C11" t="inlineStr">
        <is>
          <t xml:space="preserve">  Lever: DI-to-FA Tier Upgrade — Automated Threshold Routing</t>
        </is>
      </c>
    </row>
    <row r="12">
      <c r="B12" s="11" t="inlineStr"/>
      <c r="C12" t="inlineStr">
        <is>
          <t xml:space="preserve">  Lever: ACAT / Asset Consolidation</t>
        </is>
      </c>
    </row>
    <row r="13">
      <c r="B13" s="11" t="inlineStr"/>
      <c r="C13" t="inlineStr">
        <is>
          <t xml:space="preserve">  Lever: Self-Directed to Managed/Robo Conversion</t>
        </is>
      </c>
    </row>
    <row r="14">
      <c r="B14" s="11" t="inlineStr"/>
      <c r="C14" t="inlineStr">
        <is>
          <t xml:space="preserve">  Lever: Retention &amp; Asset Outflow Prevention</t>
        </is>
      </c>
    </row>
    <row r="15">
      <c r="B15" s="11" t="inlineStr"/>
      <c r="C15" t="inlineStr">
        <is>
          <t xml:space="preserve">  Lever: Servicing Cost Reduction — Chat/Email Deflection + Process Automation</t>
        </is>
      </c>
    </row>
    <row r="16">
      <c r="B16" s="11" t="inlineStr"/>
      <c r="C16" t="inlineStr">
        <is>
          <t xml:space="preserve">  Lever: Advisor Referral Pipeline Acceleration</t>
        </is>
      </c>
    </row>
    <row r="17">
      <c r="B17" s="11" t="inlineStr"/>
      <c r="C17" t="inlineStr">
        <is>
          <t xml:space="preserve">  Lever: Member Onboarding Cost Reduction</t>
        </is>
      </c>
    </row>
    <row r="18">
      <c r="B18" s="11" t="inlineStr"/>
      <c r="C18" t="inlineStr">
        <is>
          <t xml:space="preserve">  Cashflows — 5-year projection</t>
        </is>
      </c>
    </row>
    <row r="19">
      <c r="B19" s="3" t="inlineStr">
        <is>
          <t>Output Layer</t>
        </is>
      </c>
      <c r="C19" t="inlineStr">
        <is>
          <t>Results Dashboard — NPV, IRR, Payback, ROI</t>
        </is>
      </c>
    </row>
    <row r="20">
      <c r="B20" s="3" t="inlineStr">
        <is>
          <t>Reference</t>
        </is>
      </c>
      <c r="C20" t="inlineStr">
        <is>
          <t>Assumptions Register</t>
        </is>
      </c>
    </row>
    <row r="21">
      <c r="B21" s="11" t="inlineStr"/>
      <c r="C21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6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Banking-to-DI Cross-Sell Activation</t>
        </is>
      </c>
      <c r="C10" s="18">
        <f>'Journey Analysis'!C17*'Model Inputs'!C161*'Model Inputs'!C167</f>
        <v/>
      </c>
      <c r="D10" s="18">
        <f>'Journey Analysis'!C17*'Model Inputs'!C162*'Model Inputs'!C168</f>
        <v/>
      </c>
      <c r="E10" s="18">
        <f>'Journey Analysis'!C17*'Model Inputs'!C163*'Model Inputs'!C169</f>
        <v/>
      </c>
      <c r="F10" s="18">
        <f>'Journey Analysis'!C17*'Model Inputs'!C164*'Model Inputs'!C170</f>
        <v/>
      </c>
      <c r="G10" s="18">
        <f>'Journey Analysis'!C17*'Model Inputs'!C165*'Model Inputs'!C171</f>
        <v/>
      </c>
      <c r="H10" s="18">
        <f>SUM(C10:G10)</f>
        <v/>
      </c>
    </row>
    <row r="11">
      <c r="B11" t="inlineStr">
        <is>
          <t>Onboarding-to-Funding Funnel Recovery</t>
        </is>
      </c>
      <c r="C11" s="18">
        <f>'Journey Analysis'!C32*'Model Inputs'!C161*'Model Inputs'!C167</f>
        <v/>
      </c>
      <c r="D11" s="18">
        <f>'Journey Analysis'!C32*'Model Inputs'!C162*'Model Inputs'!C168</f>
        <v/>
      </c>
      <c r="E11" s="18">
        <f>'Journey Analysis'!C32*'Model Inputs'!C163*'Model Inputs'!C169</f>
        <v/>
      </c>
      <c r="F11" s="18">
        <f>'Journey Analysis'!C32*'Model Inputs'!C164*'Model Inputs'!C170</f>
        <v/>
      </c>
      <c r="G11" s="18">
        <f>'Journey Analysis'!C32*'Model Inputs'!C165*'Model Inputs'!C171</f>
        <v/>
      </c>
      <c r="H11" s="18">
        <f>SUM(C11:G11)</f>
        <v/>
      </c>
    </row>
    <row r="12">
      <c r="B12" t="inlineStr">
        <is>
          <t>AUM Growth via Digital Engagement</t>
        </is>
      </c>
      <c r="C12" s="18">
        <f>'Journey Analysis'!C47*'Model Inputs'!C161*'Model Inputs'!C167</f>
        <v/>
      </c>
      <c r="D12" s="18">
        <f>'Journey Analysis'!C47*'Model Inputs'!C162*'Model Inputs'!C168</f>
        <v/>
      </c>
      <c r="E12" s="18">
        <f>'Journey Analysis'!C47*'Model Inputs'!C163*'Model Inputs'!C169</f>
        <v/>
      </c>
      <c r="F12" s="18">
        <f>'Journey Analysis'!C47*'Model Inputs'!C164*'Model Inputs'!C170</f>
        <v/>
      </c>
      <c r="G12" s="18">
        <f>'Journey Analysis'!C47*'Model Inputs'!C165*'Model Inputs'!C171</f>
        <v/>
      </c>
      <c r="H12" s="18">
        <f>SUM(C12:G12)</f>
        <v/>
      </c>
    </row>
    <row r="13">
      <c r="B13" t="inlineStr">
        <is>
          <t>DI-to-FA Tier Upgrade — Automated Threshold Routing</t>
        </is>
      </c>
      <c r="C13" s="18">
        <f>'Journey Analysis'!C62*'Model Inputs'!C161*'Model Inputs'!C167</f>
        <v/>
      </c>
      <c r="D13" s="18">
        <f>'Journey Analysis'!C62*'Model Inputs'!C162*'Model Inputs'!C168</f>
        <v/>
      </c>
      <c r="E13" s="18">
        <f>'Journey Analysis'!C62*'Model Inputs'!C163*'Model Inputs'!C169</f>
        <v/>
      </c>
      <c r="F13" s="18">
        <f>'Journey Analysis'!C62*'Model Inputs'!C164*'Model Inputs'!C170</f>
        <v/>
      </c>
      <c r="G13" s="18">
        <f>'Journey Analysis'!C62*'Model Inputs'!C165*'Model Inputs'!C171</f>
        <v/>
      </c>
      <c r="H13" s="18">
        <f>SUM(C13:G13)</f>
        <v/>
      </c>
    </row>
    <row r="14">
      <c r="B14" t="inlineStr">
        <is>
          <t>ACAT / Asset Consolidation</t>
        </is>
      </c>
      <c r="C14" s="18">
        <f>'Journey Analysis'!C77*'Model Inputs'!C161*'Model Inputs'!C167</f>
        <v/>
      </c>
      <c r="D14" s="18">
        <f>'Journey Analysis'!C77*'Model Inputs'!C162*'Model Inputs'!C168</f>
        <v/>
      </c>
      <c r="E14" s="18">
        <f>'Journey Analysis'!C77*'Model Inputs'!C163*'Model Inputs'!C169</f>
        <v/>
      </c>
      <c r="F14" s="18">
        <f>'Journey Analysis'!C77*'Model Inputs'!C164*'Model Inputs'!C170</f>
        <v/>
      </c>
      <c r="G14" s="18">
        <f>'Journey Analysis'!C77*'Model Inputs'!C165*'Model Inputs'!C171</f>
        <v/>
      </c>
      <c r="H14" s="18">
        <f>SUM(C14:G14)</f>
        <v/>
      </c>
    </row>
    <row r="15">
      <c r="B15" t="inlineStr">
        <is>
          <t>Self-Directed to Managed/Robo Conversion</t>
        </is>
      </c>
      <c r="C15" s="18">
        <f>'Journey Analysis'!C91*'Model Inputs'!C161*'Model Inputs'!C167</f>
        <v/>
      </c>
      <c r="D15" s="18">
        <f>'Journey Analysis'!C91*'Model Inputs'!C162*'Model Inputs'!C168</f>
        <v/>
      </c>
      <c r="E15" s="18">
        <f>'Journey Analysis'!C91*'Model Inputs'!C163*'Model Inputs'!C169</f>
        <v/>
      </c>
      <c r="F15" s="18">
        <f>'Journey Analysis'!C91*'Model Inputs'!C164*'Model Inputs'!C170</f>
        <v/>
      </c>
      <c r="G15" s="18">
        <f>'Journey Analysis'!C91*'Model Inputs'!C165*'Model Inputs'!C171</f>
        <v/>
      </c>
      <c r="H15" s="18">
        <f>SUM(C15:G15)</f>
        <v/>
      </c>
    </row>
    <row r="16">
      <c r="B16" t="inlineStr">
        <is>
          <t>Retention &amp; Asset Outflow Prevention</t>
        </is>
      </c>
      <c r="C16" s="18">
        <f>'Journey Analysis'!C106*'Model Inputs'!C161*'Model Inputs'!C167</f>
        <v/>
      </c>
      <c r="D16" s="18">
        <f>'Journey Analysis'!C106*'Model Inputs'!C162*'Model Inputs'!C168</f>
        <v/>
      </c>
      <c r="E16" s="18">
        <f>'Journey Analysis'!C106*'Model Inputs'!C163*'Model Inputs'!C169</f>
        <v/>
      </c>
      <c r="F16" s="18">
        <f>'Journey Analysis'!C106*'Model Inputs'!C164*'Model Inputs'!C170</f>
        <v/>
      </c>
      <c r="G16" s="18">
        <f>'Journey Analysis'!C106*'Model Inputs'!C165*'Model Inputs'!C171</f>
        <v/>
      </c>
      <c r="H16" s="18">
        <f>SUM(C16:G16)</f>
        <v/>
      </c>
    </row>
    <row r="17">
      <c r="B17" t="inlineStr">
        <is>
          <t>Servicing Cost Reduction — Chat/Email Deflection + Process Automation</t>
        </is>
      </c>
      <c r="C17" s="18">
        <f>'Journey Analysis'!C152*'Model Inputs'!C161*'Model Inputs'!C167</f>
        <v/>
      </c>
      <c r="D17" s="18">
        <f>'Journey Analysis'!C152*'Model Inputs'!C162*'Model Inputs'!C168</f>
        <v/>
      </c>
      <c r="E17" s="18">
        <f>'Journey Analysis'!C152*'Model Inputs'!C163*'Model Inputs'!C169</f>
        <v/>
      </c>
      <c r="F17" s="18">
        <f>'Journey Analysis'!C152*'Model Inputs'!C164*'Model Inputs'!C170</f>
        <v/>
      </c>
      <c r="G17" s="18">
        <f>'Journey Analysis'!C152*'Model Inputs'!C165*'Model Inputs'!C171</f>
        <v/>
      </c>
      <c r="H17" s="18">
        <f>SUM(C17:G17)</f>
        <v/>
      </c>
    </row>
    <row r="18">
      <c r="B18" t="inlineStr">
        <is>
          <t>Advisor Referral Pipeline Acceleration</t>
        </is>
      </c>
      <c r="C18" s="18">
        <f>'Journey Analysis'!C165*'Model Inputs'!C161*'Model Inputs'!C167</f>
        <v/>
      </c>
      <c r="D18" s="18">
        <f>'Journey Analysis'!C165*'Model Inputs'!C162*'Model Inputs'!C168</f>
        <v/>
      </c>
      <c r="E18" s="18">
        <f>'Journey Analysis'!C165*'Model Inputs'!C163*'Model Inputs'!C169</f>
        <v/>
      </c>
      <c r="F18" s="18">
        <f>'Journey Analysis'!C165*'Model Inputs'!C164*'Model Inputs'!C170</f>
        <v/>
      </c>
      <c r="G18" s="18">
        <f>'Journey Analysis'!C165*'Model Inputs'!C165*'Model Inputs'!C171</f>
        <v/>
      </c>
      <c r="H18" s="18">
        <f>SUM(C18:G18)</f>
        <v/>
      </c>
    </row>
    <row r="19">
      <c r="B19" t="inlineStr">
        <is>
          <t>Member Onboarding Cost Reduction</t>
        </is>
      </c>
      <c r="C19" s="18">
        <f>'Journey Analysis'!C179*'Model Inputs'!C161*'Model Inputs'!C167</f>
        <v/>
      </c>
      <c r="D19" s="18">
        <f>'Journey Analysis'!C179*'Model Inputs'!C162*'Model Inputs'!C168</f>
        <v/>
      </c>
      <c r="E19" s="18">
        <f>'Journey Analysis'!C179*'Model Inputs'!C163*'Model Inputs'!C169</f>
        <v/>
      </c>
      <c r="F19" s="18">
        <f>'Journey Analysis'!C179*'Model Inputs'!C164*'Model Inputs'!C170</f>
        <v/>
      </c>
      <c r="G19" s="18">
        <f>'Journey Analysis'!C179*'Model Inputs'!C165*'Model Inputs'!C171</f>
        <v/>
      </c>
      <c r="H19" s="18">
        <f>SUM(C19:G19)</f>
        <v/>
      </c>
    </row>
    <row r="21">
      <c r="B21" s="3" t="inlineStr">
        <is>
          <t>Total Cash Inflow</t>
        </is>
      </c>
      <c r="C21" s="19">
        <f>SUM(C10:C19)</f>
        <v/>
      </c>
      <c r="D21" s="19">
        <f>SUM(D10:D19)</f>
        <v/>
      </c>
      <c r="E21" s="19">
        <f>SUM(E10:E19)</f>
        <v/>
      </c>
      <c r="F21" s="19">
        <f>SUM(F10:F19)</f>
        <v/>
      </c>
      <c r="G21" s="19">
        <f>SUM(G10:G19)</f>
        <v/>
      </c>
      <c r="H21" s="19">
        <f>SUM(H10:H19)</f>
        <v/>
      </c>
    </row>
    <row r="24">
      <c r="B24" s="20" t="inlineStr">
        <is>
          <t>CASH OUTFLOWS (Investment)</t>
        </is>
      </c>
    </row>
    <row r="25">
      <c r="B25" t="inlineStr">
        <is>
          <t>License</t>
        </is>
      </c>
      <c r="C25" s="18">
        <f>'Model Inputs'!C144</f>
        <v/>
      </c>
      <c r="D25" s="18">
        <f>'Model Inputs'!C145</f>
        <v/>
      </c>
      <c r="E25" s="18">
        <f>'Model Inputs'!C146</f>
        <v/>
      </c>
      <c r="F25" s="18">
        <f>'Model Inputs'!C147</f>
        <v/>
      </c>
      <c r="G25" s="18">
        <f>'Model Inputs'!C148</f>
        <v/>
      </c>
      <c r="H25" s="18">
        <f>SUM(C25:G25)</f>
        <v/>
      </c>
    </row>
    <row r="26">
      <c r="B26" t="inlineStr">
        <is>
          <t>Implementation</t>
        </is>
      </c>
      <c r="C26" s="18">
        <f>'Model Inputs'!C151</f>
        <v/>
      </c>
      <c r="D26" s="18">
        <f>'Model Inputs'!C152</f>
        <v/>
      </c>
      <c r="E26" s="18">
        <f>'Model Inputs'!C153</f>
        <v/>
      </c>
      <c r="F26" s="18">
        <f>'Model Inputs'!C154</f>
        <v/>
      </c>
      <c r="G26" s="18">
        <f>'Model Inputs'!C155</f>
        <v/>
      </c>
      <c r="H26" s="18">
        <f>SUM(C26:G26)</f>
        <v/>
      </c>
    </row>
    <row r="27">
      <c r="B27" s="3" t="inlineStr">
        <is>
          <t>Total Cash Outflow</t>
        </is>
      </c>
      <c r="C27" s="19">
        <f>C25+C26</f>
        <v/>
      </c>
      <c r="D27" s="19">
        <f>D25+D26</f>
        <v/>
      </c>
      <c r="E27" s="19">
        <f>E25+E26</f>
        <v/>
      </c>
      <c r="F27" s="19">
        <f>F25+F26</f>
        <v/>
      </c>
      <c r="G27" s="19">
        <f>G25+G26</f>
        <v/>
      </c>
      <c r="H27" s="19">
        <f>H25+H26</f>
        <v/>
      </c>
    </row>
    <row r="30">
      <c r="B30" s="21" t="inlineStr">
        <is>
          <t>NET CASHFLOW</t>
        </is>
      </c>
      <c r="C30" s="19">
        <f>C21-C27</f>
        <v/>
      </c>
      <c r="D30" s="19">
        <f>D21-D27</f>
        <v/>
      </c>
      <c r="E30" s="19">
        <f>E21-E27</f>
        <v/>
      </c>
      <c r="F30" s="19">
        <f>F21-F27</f>
        <v/>
      </c>
      <c r="G30" s="19">
        <f>G21-G27</f>
        <v/>
      </c>
      <c r="H30" s="22">
        <f>SUM(C30:G30)</f>
        <v/>
      </c>
    </row>
    <row r="31">
      <c r="B31" t="inlineStr">
        <is>
          <t>Cumulative Cashflow</t>
        </is>
      </c>
      <c r="C31" s="18">
        <f>C30</f>
        <v/>
      </c>
      <c r="D31" s="18">
        <f>C31+D30</f>
        <v/>
      </c>
      <c r="E31" s="18">
        <f>D31+E30</f>
        <v/>
      </c>
      <c r="F31" s="18">
        <f>E31+F30</f>
        <v/>
      </c>
      <c r="G31" s="18">
        <f>F31+G30</f>
        <v/>
      </c>
    </row>
    <row r="35">
      <c r="B35" s="23" t="inlineStr">
        <is>
          <t>FINANCIAL METRICS</t>
        </is>
      </c>
    </row>
    <row r="36">
      <c r="B36" t="inlineStr">
        <is>
          <t>Discount Rate (WACC)</t>
        </is>
      </c>
      <c r="C36" s="24">
        <f>'Model Inputs'!C11</f>
        <v/>
      </c>
    </row>
    <row r="37">
      <c r="B37" t="inlineStr">
        <is>
          <t>Total 5-Year Benefits</t>
        </is>
      </c>
      <c r="C37" s="22">
        <f>H21</f>
        <v/>
      </c>
    </row>
    <row r="38">
      <c r="B38" t="inlineStr">
        <is>
          <t>Total 5-Year Investment</t>
        </is>
      </c>
      <c r="C38" s="18">
        <f>H27</f>
        <v/>
      </c>
    </row>
    <row r="39">
      <c r="B39" t="inlineStr">
        <is>
          <t>Net Benefit</t>
        </is>
      </c>
      <c r="C39" s="22">
        <f>C37-C38</f>
        <v/>
      </c>
    </row>
    <row r="40">
      <c r="B40" t="inlineStr">
        <is>
          <t>ROI %</t>
        </is>
      </c>
      <c r="C40" s="25">
        <f>IFERROR((C37-C38)/C38,0)</f>
        <v/>
      </c>
    </row>
    <row r="41">
      <c r="B41" t="inlineStr">
        <is>
          <t>Net Present Value (NPV)</t>
        </is>
      </c>
      <c r="C41" s="22">
        <f>NPV(C36,C30:G30)</f>
        <v/>
      </c>
    </row>
    <row r="42">
      <c r="B42" t="inlineStr">
        <is>
          <t>Internal Rate of Return (IRR)</t>
        </is>
      </c>
      <c r="C42" s="26">
        <f>IFERROR(IRR(C30:G30),"N/A")</f>
        <v/>
      </c>
    </row>
    <row r="43">
      <c r="B43" t="inlineStr">
        <is>
          <t>Payback Period (Years)</t>
        </is>
      </c>
      <c r="C43" s="27">
        <f>IF(C31&gt;=0,1-((C31-C30)/C30),IF(D31&gt;=0,2-((D31-D30)/D30),IF(E31&gt;=0,3-((E31-E30)/E30),IF(F31&gt;=0,4-((F31-F30)/F30),IF(G31&gt;=0,5-((G31-G30)/G30),"N/A")))))</f>
        <v/>
      </c>
    </row>
    <row r="47">
      <c r="B47" s="23" t="inlineStr">
        <is>
          <t>BENEFITS BY LEVER (Annual Steady State)</t>
        </is>
      </c>
    </row>
    <row r="49">
      <c r="B49" s="16" t="inlineStr">
        <is>
          <t>Lever Group</t>
        </is>
      </c>
      <c r="C49" s="16" t="inlineStr">
        <is>
          <t>Lifecycle Stage</t>
        </is>
      </c>
      <c r="D49" s="16" t="inlineStr">
        <is>
          <t>Annual Benefit</t>
        </is>
      </c>
    </row>
    <row r="50">
      <c r="B50" t="inlineStr">
        <is>
          <t>Banking-to-DI Cross-Sell Activation</t>
        </is>
      </c>
      <c r="C50" t="inlineStr"/>
      <c r="D50" s="19">
        <f>'Journey Analysis'!C17</f>
        <v/>
      </c>
    </row>
    <row r="51">
      <c r="B51" t="inlineStr">
        <is>
          <t>Onboarding-to-Funding Funnel Recovery</t>
        </is>
      </c>
      <c r="C51" t="inlineStr"/>
      <c r="D51" s="19">
        <f>'Journey Analysis'!C32</f>
        <v/>
      </c>
    </row>
    <row r="52">
      <c r="B52" t="inlineStr">
        <is>
          <t>AUM Growth via Digital Engagement</t>
        </is>
      </c>
      <c r="C52" t="inlineStr"/>
      <c r="D52" s="19">
        <f>'Journey Analysis'!C47</f>
        <v/>
      </c>
    </row>
    <row r="53">
      <c r="B53" t="inlineStr">
        <is>
          <t>DI-to-FA Tier Upgrade — Automated Threshold Routing</t>
        </is>
      </c>
      <c r="C53" t="inlineStr"/>
      <c r="D53" s="19">
        <f>'Journey Analysis'!C62</f>
        <v/>
      </c>
    </row>
    <row r="54">
      <c r="B54" t="inlineStr">
        <is>
          <t>ACAT / Asset Consolidation</t>
        </is>
      </c>
      <c r="C54" t="inlineStr"/>
      <c r="D54" s="19">
        <f>'Journey Analysis'!C77</f>
        <v/>
      </c>
    </row>
    <row r="55">
      <c r="B55" t="inlineStr">
        <is>
          <t>Self-Directed to Managed/Robo Conversion</t>
        </is>
      </c>
      <c r="C55" t="inlineStr"/>
      <c r="D55" s="19">
        <f>'Journey Analysis'!C91</f>
        <v/>
      </c>
    </row>
    <row r="56">
      <c r="B56" t="inlineStr">
        <is>
          <t>Retention &amp; Asset Outflow Prevention</t>
        </is>
      </c>
      <c r="C56" t="inlineStr"/>
      <c r="D56" s="19">
        <f>'Journey Analysis'!C106</f>
        <v/>
      </c>
    </row>
    <row r="57">
      <c r="B57" t="inlineStr">
        <is>
          <t>Servicing Cost Reduction — Chat/Email Deflection + Process Automation</t>
        </is>
      </c>
      <c r="C57" t="inlineStr"/>
      <c r="D57" s="19">
        <f>'Journey Analysis'!C152</f>
        <v/>
      </c>
    </row>
    <row r="58">
      <c r="B58" t="inlineStr">
        <is>
          <t>Advisor Referral Pipeline Acceleration</t>
        </is>
      </c>
      <c r="C58" t="inlineStr"/>
      <c r="D58" s="19">
        <f>'Journey Analysis'!C165</f>
        <v/>
      </c>
    </row>
    <row r="59">
      <c r="B59" t="inlineStr">
        <is>
          <t>Member Onboarding Cost Reduction</t>
        </is>
      </c>
      <c r="C59" t="inlineStr"/>
      <c r="D59" s="19">
        <f>'Journey Analysis'!C179</f>
        <v/>
      </c>
    </row>
    <row r="60">
      <c r="B60" s="3" t="inlineStr">
        <is>
          <t>TOTAL</t>
        </is>
      </c>
      <c r="D60" s="28">
        <f>SUM(D50:D59)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8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Banking-to-DI Cross-Sell Activation</t>
        </is>
      </c>
    </row>
    <row r="6">
      <c r="B6" s="30" t="inlineStr">
        <is>
          <t>Revenue Generation</t>
        </is>
      </c>
    </row>
    <row r="7">
      <c r="B7" s="33" t="inlineStr">
        <is>
          <t xml:space="preserve">  Incremental Fee Revenue from Banking-to-DI Cross-Sell</t>
        </is>
      </c>
      <c r="D7" s="31" t="inlineStr">
        <is>
          <t>Revenue</t>
        </is>
      </c>
    </row>
    <row r="8">
      <c r="B8" s="16" t="inlineStr">
        <is>
          <t>Factor</t>
        </is>
      </c>
      <c r="C8" s="16" t="inlineStr">
        <is>
          <t>Value</t>
        </is>
      </c>
      <c r="D8" s="16" t="inlineStr">
        <is>
          <t>Unit</t>
        </is>
      </c>
    </row>
    <row r="9">
      <c r="B9" t="inlineStr">
        <is>
          <t xml:space="preserve">    Eligible Members</t>
        </is>
      </c>
      <c r="C9" s="34">
        <f>'Model Inputs'!C18</f>
        <v/>
      </c>
      <c r="D9" s="35" t="inlineStr">
        <is>
          <t>members</t>
        </is>
      </c>
    </row>
    <row r="10">
      <c r="B10" t="inlineStr">
        <is>
          <t xml:space="preserve">    Penetration Gap</t>
        </is>
      </c>
      <c r="C10">
        <f>'Model Inputs'!C19</f>
        <v/>
      </c>
      <c r="D10" s="35" t="inlineStr">
        <is>
          <t>ratio</t>
        </is>
      </c>
    </row>
    <row r="11">
      <c r="B11" t="inlineStr">
        <is>
          <t xml:space="preserve">    Blended Revenue Per Member</t>
        </is>
      </c>
      <c r="C11">
        <f>'Model Inputs'!C20</f>
        <v/>
      </c>
      <c r="D11" s="35" t="inlineStr">
        <is>
          <t>USD/yr</t>
        </is>
      </c>
    </row>
    <row r="12">
      <c r="B12" s="3" t="inlineStr">
        <is>
          <t xml:space="preserve">    Baseline</t>
        </is>
      </c>
      <c r="C12" s="36">
        <f>C9 * C10 * C11</f>
        <v/>
      </c>
      <c r="D12" s="35" t="inlineStr">
        <is>
          <t>USD/year</t>
        </is>
      </c>
    </row>
    <row r="13">
      <c r="B13" s="3" t="inlineStr">
        <is>
          <t xml:space="preserve">    Backbase Impact</t>
        </is>
      </c>
      <c r="C13" s="37">
        <f>'Model Inputs'!C21</f>
        <v/>
      </c>
      <c r="D13" s="31" t="inlineStr">
        <is>
          <t>% of baseline captured by Backbase</t>
        </is>
      </c>
    </row>
    <row r="14">
      <c r="B14" s="38" t="inlineStr">
        <is>
          <t xml:space="preserve">    Annual Benefit</t>
        </is>
      </c>
      <c r="C14" s="39">
        <f>C12*C13</f>
        <v/>
      </c>
      <c r="D14" s="40" t="inlineStr">
        <is>
          <t>USD/year (scenario-adjusted)</t>
        </is>
      </c>
    </row>
    <row r="17">
      <c r="B17" s="38" t="inlineStr">
        <is>
          <t>Total: Banking-to-DI Cross-Sell Activation</t>
        </is>
      </c>
      <c r="C17" s="39">
        <f>C14</f>
        <v/>
      </c>
    </row>
    <row r="20">
      <c r="B20" s="32" t="inlineStr">
        <is>
          <t>Onboarding-to-Funding Funnel Recovery</t>
        </is>
      </c>
    </row>
    <row r="21">
      <c r="B21" s="30" t="inlineStr">
        <is>
          <t>Revenue Generation</t>
        </is>
      </c>
    </row>
    <row r="22">
      <c r="B22" s="33" t="inlineStr">
        <is>
          <t xml:space="preserve">  Recovered Fee Revenue from Unfunded Account Activation</t>
        </is>
      </c>
      <c r="D22" s="31" t="inlineStr">
        <is>
          <t>Revenue</t>
        </is>
      </c>
    </row>
    <row r="23">
      <c r="B23" s="16" t="inlineStr">
        <is>
          <t>Factor</t>
        </is>
      </c>
      <c r="C23" s="16" t="inlineStr">
        <is>
          <t>Value</t>
        </is>
      </c>
      <c r="D23" s="16" t="inlineStr">
        <is>
          <t>Unit</t>
        </is>
      </c>
    </row>
    <row r="24">
      <c r="B24" t="inlineStr">
        <is>
          <t xml:space="preserve">    Annual New Accounts</t>
        </is>
      </c>
      <c r="C24" s="34">
        <f>'Model Inputs'!C28</f>
        <v/>
      </c>
      <c r="D24" s="35" t="inlineStr">
        <is>
          <t>accounts/yr</t>
        </is>
      </c>
    </row>
    <row r="25">
      <c r="B25" t="inlineStr">
        <is>
          <t xml:space="preserve">    Unfunded Rate</t>
        </is>
      </c>
      <c r="C25">
        <f>'Model Inputs'!C29</f>
        <v/>
      </c>
      <c r="D25" s="35" t="inlineStr">
        <is>
          <t>ratio</t>
        </is>
      </c>
    </row>
    <row r="26">
      <c r="B26" t="inlineStr">
        <is>
          <t xml:space="preserve">    Blended Revenue Per Funded</t>
        </is>
      </c>
      <c r="C26">
        <f>'Model Inputs'!C30</f>
        <v/>
      </c>
      <c r="D26" s="35" t="inlineStr">
        <is>
          <t>USD/yr</t>
        </is>
      </c>
    </row>
    <row r="27">
      <c r="B27" s="3" t="inlineStr">
        <is>
          <t xml:space="preserve">    Baseline</t>
        </is>
      </c>
      <c r="C27" s="36">
        <f>C24 * C25 * C26</f>
        <v/>
      </c>
      <c r="D27" s="35" t="inlineStr">
        <is>
          <t>USD/year</t>
        </is>
      </c>
    </row>
    <row r="28">
      <c r="B28" s="3" t="inlineStr">
        <is>
          <t xml:space="preserve">    Backbase Impact</t>
        </is>
      </c>
      <c r="C28" s="37">
        <f>'Model Inputs'!C31</f>
        <v/>
      </c>
      <c r="D28" s="31" t="inlineStr">
        <is>
          <t>% of baseline captured by Backbase</t>
        </is>
      </c>
    </row>
    <row r="29">
      <c r="B29" s="38" t="inlineStr">
        <is>
          <t xml:space="preserve">    Annual Benefit</t>
        </is>
      </c>
      <c r="C29" s="39">
        <f>C27*C28</f>
        <v/>
      </c>
      <c r="D29" s="40" t="inlineStr">
        <is>
          <t>USD/year (scenario-adjusted)</t>
        </is>
      </c>
    </row>
    <row r="32">
      <c r="B32" s="38" t="inlineStr">
        <is>
          <t>Total: Onboarding-to-Funding Funnel Recovery</t>
        </is>
      </c>
      <c r="C32" s="39">
        <f>C29</f>
        <v/>
      </c>
    </row>
    <row r="35">
      <c r="B35" s="32" t="inlineStr">
        <is>
          <t>AUM Growth via Digital Engagement</t>
        </is>
      </c>
    </row>
    <row r="36">
      <c r="B36" s="30" t="inlineStr">
        <is>
          <t>Revenue Generation</t>
        </is>
      </c>
    </row>
    <row r="37">
      <c r="B37" s="33" t="inlineStr">
        <is>
          <t xml:space="preserve">  Incremental Fee Revenue from AUM Uplift on Engaged Robo Members</t>
        </is>
      </c>
      <c r="D37" s="31" t="inlineStr">
        <is>
          <t>Revenue</t>
        </is>
      </c>
    </row>
    <row r="38">
      <c r="B38" s="16" t="inlineStr">
        <is>
          <t>Factor</t>
        </is>
      </c>
      <c r="C38" s="16" t="inlineStr">
        <is>
          <t>Value</t>
        </is>
      </c>
      <c r="D38" s="16" t="inlineStr">
        <is>
          <t>Unit</t>
        </is>
      </c>
    </row>
    <row r="39">
      <c r="B39" t="inlineStr">
        <is>
          <t xml:space="preserve">    Robo Members</t>
        </is>
      </c>
      <c r="C39" s="34">
        <f>'Model Inputs'!C38</f>
        <v/>
      </c>
      <c r="D39" s="35" t="inlineStr">
        <is>
          <t>members</t>
        </is>
      </c>
    </row>
    <row r="40">
      <c r="B40" t="inlineStr">
        <is>
          <t xml:space="preserve">    Avg Aum</t>
        </is>
      </c>
      <c r="C40" s="34">
        <f>'Model Inputs'!C39</f>
        <v/>
      </c>
      <c r="D40" s="35" t="inlineStr">
        <is>
          <t>USD</t>
        </is>
      </c>
    </row>
    <row r="41">
      <c r="B41" t="inlineStr">
        <is>
          <t xml:space="preserve">    Fee Rate</t>
        </is>
      </c>
      <c r="C41">
        <f>'Model Inputs'!C40</f>
        <v/>
      </c>
      <c r="D41" s="35" t="inlineStr">
        <is>
          <t>ratio</t>
        </is>
      </c>
    </row>
    <row r="42">
      <c r="B42" s="3" t="inlineStr">
        <is>
          <t xml:space="preserve">    Baseline</t>
        </is>
      </c>
      <c r="C42" s="36">
        <f>C39 * C40 * C41</f>
        <v/>
      </c>
      <c r="D42" s="35" t="inlineStr">
        <is>
          <t>USD/year</t>
        </is>
      </c>
    </row>
    <row r="43">
      <c r="B43" s="3" t="inlineStr">
        <is>
          <t xml:space="preserve">    Backbase Impact</t>
        </is>
      </c>
      <c r="C43" s="37">
        <f>'Model Inputs'!C41</f>
        <v/>
      </c>
      <c r="D43" s="31" t="inlineStr">
        <is>
          <t>% of baseline captured by Backbase</t>
        </is>
      </c>
    </row>
    <row r="44">
      <c r="B44" s="38" t="inlineStr">
        <is>
          <t xml:space="preserve">    Annual Benefit</t>
        </is>
      </c>
      <c r="C44" s="39">
        <f>C42*C43</f>
        <v/>
      </c>
      <c r="D44" s="40" t="inlineStr">
        <is>
          <t>USD/year (scenario-adjusted)</t>
        </is>
      </c>
    </row>
    <row r="47">
      <c r="B47" s="38" t="inlineStr">
        <is>
          <t>Total: AUM Growth via Digital Engagement</t>
        </is>
      </c>
      <c r="C47" s="39">
        <f>C44</f>
        <v/>
      </c>
    </row>
    <row r="50">
      <c r="B50" s="32" t="inlineStr">
        <is>
          <t>DI-to-FA Tier Upgrade — Automated Threshold Routing</t>
        </is>
      </c>
    </row>
    <row r="51">
      <c r="B51" s="30" t="inlineStr">
        <is>
          <t>Revenue Generation</t>
        </is>
      </c>
    </row>
    <row r="52">
      <c r="B52" s="33" t="inlineStr">
        <is>
          <t xml:space="preserve">  Incremental Fee Revenue from DI-to-FA Conversions</t>
        </is>
      </c>
      <c r="D52" s="31" t="inlineStr">
        <is>
          <t>Revenue</t>
        </is>
      </c>
    </row>
    <row r="53">
      <c r="B53" s="16" t="inlineStr">
        <is>
          <t>Factor</t>
        </is>
      </c>
      <c r="C53" s="16" t="inlineStr">
        <is>
          <t>Value</t>
        </is>
      </c>
      <c r="D53" s="16" t="inlineStr">
        <is>
          <t>Unit</t>
        </is>
      </c>
    </row>
    <row r="54">
      <c r="B54" t="inlineStr">
        <is>
          <t xml:space="preserve">    Eligible Members</t>
        </is>
      </c>
      <c r="C54" s="34">
        <f>'Model Inputs'!C48</f>
        <v/>
      </c>
      <c r="D54" s="35" t="inlineStr">
        <is>
          <t>members</t>
        </is>
      </c>
    </row>
    <row r="55">
      <c r="B55" t="inlineStr">
        <is>
          <t xml:space="preserve">    Avg Aum Eligible</t>
        </is>
      </c>
      <c r="C55" s="34">
        <f>'Model Inputs'!C49</f>
        <v/>
      </c>
      <c r="D55" s="35" t="inlineStr">
        <is>
          <t>USD</t>
        </is>
      </c>
    </row>
    <row r="56">
      <c r="B56" t="inlineStr">
        <is>
          <t xml:space="preserve">    Fee Delta</t>
        </is>
      </c>
      <c r="C56">
        <f>'Model Inputs'!C50</f>
        <v/>
      </c>
      <c r="D56" s="35" t="inlineStr">
        <is>
          <t>ratio</t>
        </is>
      </c>
    </row>
    <row r="57">
      <c r="B57" s="3" t="inlineStr">
        <is>
          <t xml:space="preserve">    Baseline</t>
        </is>
      </c>
      <c r="C57" s="36">
        <f>C54 * C55 * C56</f>
        <v/>
      </c>
      <c r="D57" s="35" t="inlineStr">
        <is>
          <t>USD/year</t>
        </is>
      </c>
    </row>
    <row r="58">
      <c r="B58" s="3" t="inlineStr">
        <is>
          <t xml:space="preserve">    Backbase Impact</t>
        </is>
      </c>
      <c r="C58" s="37">
        <f>'Model Inputs'!C51</f>
        <v/>
      </c>
      <c r="D58" s="31" t="inlineStr">
        <is>
          <t>% of baseline captured by Backbase</t>
        </is>
      </c>
    </row>
    <row r="59">
      <c r="B59" s="38" t="inlineStr">
        <is>
          <t xml:space="preserve">    Annual Benefit</t>
        </is>
      </c>
      <c r="C59" s="39">
        <f>C57*C58</f>
        <v/>
      </c>
      <c r="D59" s="40" t="inlineStr">
        <is>
          <t>USD/year (scenario-adjusted)</t>
        </is>
      </c>
    </row>
    <row r="62">
      <c r="B62" s="38" t="inlineStr">
        <is>
          <t>Total: DI-to-FA Tier Upgrade — Automated Threshold Routing</t>
        </is>
      </c>
      <c r="C62" s="39">
        <f>C59</f>
        <v/>
      </c>
    </row>
    <row r="65">
      <c r="B65" s="32" t="inlineStr">
        <is>
          <t>ACAT / Asset Consolidation</t>
        </is>
      </c>
    </row>
    <row r="66">
      <c r="B66" s="30" t="inlineStr">
        <is>
          <t>Revenue Generation</t>
        </is>
      </c>
    </row>
    <row r="67">
      <c r="B67" s="33" t="inlineStr">
        <is>
          <t xml:space="preserve">  Incremental Fee Revenue from ACAT Transfer Completion Improvement</t>
        </is>
      </c>
      <c r="D67" s="31" t="inlineStr">
        <is>
          <t>Revenue</t>
        </is>
      </c>
    </row>
    <row r="68">
      <c r="B68" s="16" t="inlineStr">
        <is>
          <t>Factor</t>
        </is>
      </c>
      <c r="C68" s="16" t="inlineStr">
        <is>
          <t>Value</t>
        </is>
      </c>
      <c r="D68" s="16" t="inlineStr">
        <is>
          <t>Unit</t>
        </is>
      </c>
    </row>
    <row r="69">
      <c r="B69" t="inlineStr">
        <is>
          <t xml:space="preserve">    Acat Attempts</t>
        </is>
      </c>
      <c r="C69">
        <f>'Model Inputs'!C58</f>
        <v/>
      </c>
      <c r="D69" s="35" t="inlineStr">
        <is>
          <t>transfers/yr</t>
        </is>
      </c>
    </row>
    <row r="70">
      <c r="B70" t="inlineStr">
        <is>
          <t xml:space="preserve">    Avg Transfer Aum</t>
        </is>
      </c>
      <c r="C70" s="34">
        <f>'Model Inputs'!C59</f>
        <v/>
      </c>
      <c r="D70" s="35" t="inlineStr">
        <is>
          <t>USD</t>
        </is>
      </c>
    </row>
    <row r="71">
      <c r="B71" t="inlineStr">
        <is>
          <t xml:space="preserve">    Fee Rate</t>
        </is>
      </c>
      <c r="C71">
        <f>'Model Inputs'!C60</f>
        <v/>
      </c>
      <c r="D71" s="35" t="inlineStr">
        <is>
          <t>ratio</t>
        </is>
      </c>
    </row>
    <row r="72">
      <c r="B72" s="3" t="inlineStr">
        <is>
          <t xml:space="preserve">    Baseline</t>
        </is>
      </c>
      <c r="C72" s="36">
        <f>C69 * C70 * C71</f>
        <v/>
      </c>
      <c r="D72" s="35" t="inlineStr">
        <is>
          <t>USD/year</t>
        </is>
      </c>
    </row>
    <row r="73">
      <c r="B73" s="3" t="inlineStr">
        <is>
          <t xml:space="preserve">    Backbase Impact</t>
        </is>
      </c>
      <c r="C73" s="37">
        <f>'Model Inputs'!C61</f>
        <v/>
      </c>
      <c r="D73" s="31" t="inlineStr">
        <is>
          <t>% of baseline captured by Backbase</t>
        </is>
      </c>
    </row>
    <row r="74">
      <c r="B74" s="38" t="inlineStr">
        <is>
          <t xml:space="preserve">    Annual Benefit</t>
        </is>
      </c>
      <c r="C74" s="39">
        <f>C72*C73</f>
        <v/>
      </c>
      <c r="D74" s="40" t="inlineStr">
        <is>
          <t>USD/year (scenario-adjusted)</t>
        </is>
      </c>
    </row>
    <row r="77">
      <c r="B77" s="38" t="inlineStr">
        <is>
          <t>Total: ACAT / Asset Consolidation</t>
        </is>
      </c>
      <c r="C77" s="39">
        <f>C74</f>
        <v/>
      </c>
    </row>
    <row r="80">
      <c r="B80" s="32" t="inlineStr">
        <is>
          <t>Self-Directed to Managed/Robo Conversion</t>
        </is>
      </c>
    </row>
    <row r="81">
      <c r="B81" s="30" t="inlineStr">
        <is>
          <t>Revenue Generation</t>
        </is>
      </c>
    </row>
    <row r="82">
      <c r="B82" s="33" t="inlineStr">
        <is>
          <t xml:space="preserve">  Incremental Fee Revenue from SD-to-Robo Conversions</t>
        </is>
      </c>
      <c r="D82" s="31" t="inlineStr">
        <is>
          <t>Revenue</t>
        </is>
      </c>
    </row>
    <row r="83">
      <c r="B83" s="16" t="inlineStr">
        <is>
          <t>Factor</t>
        </is>
      </c>
      <c r="C83" s="16" t="inlineStr">
        <is>
          <t>Value</t>
        </is>
      </c>
      <c r="D83" s="16" t="inlineStr">
        <is>
          <t>Unit</t>
        </is>
      </c>
    </row>
    <row r="84">
      <c r="B84" t="inlineStr">
        <is>
          <t xml:space="preserve">    Eligible Sd Members</t>
        </is>
      </c>
      <c r="C84" s="34">
        <f>'Model Inputs'!C68</f>
        <v/>
      </c>
      <c r="D84" s="35" t="inlineStr">
        <is>
          <t>members</t>
        </is>
      </c>
    </row>
    <row r="85">
      <c r="B85" t="inlineStr">
        <is>
          <t xml:space="preserve">    Fee Delta</t>
        </is>
      </c>
      <c r="C85">
        <f>'Model Inputs'!C69</f>
        <v/>
      </c>
      <c r="D85" s="35" t="inlineStr">
        <is>
          <t>USD/yr</t>
        </is>
      </c>
    </row>
    <row r="86">
      <c r="B86" s="3" t="inlineStr">
        <is>
          <t xml:space="preserve">    Baseline</t>
        </is>
      </c>
      <c r="C86" s="36">
        <f>C84 * C85</f>
        <v/>
      </c>
      <c r="D86" s="35" t="inlineStr">
        <is>
          <t>USD/year</t>
        </is>
      </c>
    </row>
    <row r="87">
      <c r="B87" s="3" t="inlineStr">
        <is>
          <t xml:space="preserve">    Backbase Impact</t>
        </is>
      </c>
      <c r="C87" s="37">
        <f>'Model Inputs'!C70</f>
        <v/>
      </c>
      <c r="D87" s="31" t="inlineStr">
        <is>
          <t>% of baseline captured by Backbase</t>
        </is>
      </c>
    </row>
    <row r="88">
      <c r="B88" s="38" t="inlineStr">
        <is>
          <t xml:space="preserve">    Annual Benefit</t>
        </is>
      </c>
      <c r="C88" s="39">
        <f>C86*C87</f>
        <v/>
      </c>
      <c r="D88" s="40" t="inlineStr">
        <is>
          <t>USD/year (scenario-adjusted)</t>
        </is>
      </c>
    </row>
    <row r="91">
      <c r="B91" s="38" t="inlineStr">
        <is>
          <t>Total: Self-Directed to Managed/Robo Conversion</t>
        </is>
      </c>
      <c r="C91" s="39">
        <f>C88</f>
        <v/>
      </c>
    </row>
    <row r="94">
      <c r="B94" s="32" t="inlineStr">
        <is>
          <t>Retention &amp; Asset Outflow Prevention</t>
        </is>
      </c>
    </row>
    <row r="95">
      <c r="B95" s="30" t="inlineStr">
        <is>
          <t>Revenue Generation</t>
        </is>
      </c>
    </row>
    <row r="96">
      <c r="B96" s="33" t="inlineStr">
        <is>
          <t xml:space="preserve">  Protected Fee Revenue from Reduced Asset Outflow</t>
        </is>
      </c>
      <c r="D96" s="31" t="inlineStr">
        <is>
          <t>Revenue</t>
        </is>
      </c>
    </row>
    <row r="97">
      <c r="B97" s="16" t="inlineStr">
        <is>
          <t>Factor</t>
        </is>
      </c>
      <c r="C97" s="16" t="inlineStr">
        <is>
          <t>Value</t>
        </is>
      </c>
      <c r="D97" s="16" t="inlineStr">
        <is>
          <t>Unit</t>
        </is>
      </c>
    </row>
    <row r="98">
      <c r="B98" t="inlineStr">
        <is>
          <t xml:space="preserve">    Total Aua</t>
        </is>
      </c>
      <c r="C98" s="34">
        <f>'Model Inputs'!C77</f>
        <v/>
      </c>
      <c r="D98" s="35" t="inlineStr">
        <is>
          <t>USD</t>
        </is>
      </c>
    </row>
    <row r="99">
      <c r="B99" t="inlineStr">
        <is>
          <t xml:space="preserve">    Attrition Rate</t>
        </is>
      </c>
      <c r="C99">
        <f>'Model Inputs'!C78</f>
        <v/>
      </c>
      <c r="D99" s="35" t="inlineStr">
        <is>
          <t>ratio</t>
        </is>
      </c>
    </row>
    <row r="100">
      <c r="B100" t="inlineStr">
        <is>
          <t xml:space="preserve">    Blended Fee Rate</t>
        </is>
      </c>
      <c r="C100">
        <f>'Model Inputs'!C79</f>
        <v/>
      </c>
      <c r="D100" s="35" t="inlineStr">
        <is>
          <t>ratio</t>
        </is>
      </c>
    </row>
    <row r="101">
      <c r="B101" s="3" t="inlineStr">
        <is>
          <t xml:space="preserve">    Baseline</t>
        </is>
      </c>
      <c r="C101" s="36">
        <f>C98 * C99 * C100</f>
        <v/>
      </c>
      <c r="D101" s="35" t="inlineStr">
        <is>
          <t>USD/year</t>
        </is>
      </c>
    </row>
    <row r="102">
      <c r="B102" s="3" t="inlineStr">
        <is>
          <t xml:space="preserve">    Backbase Impact</t>
        </is>
      </c>
      <c r="C102" s="37">
        <f>'Model Inputs'!C80</f>
        <v/>
      </c>
      <c r="D102" s="31" t="inlineStr">
        <is>
          <t>% of baseline captured by Backbase</t>
        </is>
      </c>
    </row>
    <row r="103">
      <c r="B103" s="38" t="inlineStr">
        <is>
          <t xml:space="preserve">    Annual Benefit</t>
        </is>
      </c>
      <c r="C103" s="39">
        <f>C101*C102</f>
        <v/>
      </c>
      <c r="D103" s="40" t="inlineStr">
        <is>
          <t>USD/year (scenario-adjusted)</t>
        </is>
      </c>
    </row>
    <row r="106">
      <c r="B106" s="38" t="inlineStr">
        <is>
          <t>Total: Retention &amp; Asset Outflow Prevention</t>
        </is>
      </c>
      <c r="C106" s="39">
        <f>C103</f>
        <v/>
      </c>
    </row>
    <row r="109">
      <c r="B109" s="32" t="inlineStr">
        <is>
          <t>Servicing Cost Reduction — Chat/Email Deflection + Process Automation</t>
        </is>
      </c>
    </row>
    <row r="110">
      <c r="B110" s="29" t="inlineStr">
        <is>
          <t>Cost Reduction</t>
        </is>
      </c>
    </row>
    <row r="111">
      <c r="B111" s="41" t="inlineStr">
        <is>
          <t xml:space="preserve">  Chat Volume Deflection &amp; Time Reduction</t>
        </is>
      </c>
      <c r="D111" s="31" t="inlineStr">
        <is>
          <t>Cost</t>
        </is>
      </c>
    </row>
    <row r="112">
      <c r="B112" s="16" t="inlineStr">
        <is>
          <t>Factor</t>
        </is>
      </c>
      <c r="C112" s="16" t="inlineStr">
        <is>
          <t>Value</t>
        </is>
      </c>
      <c r="D112" s="16" t="inlineStr">
        <is>
          <t>Unit</t>
        </is>
      </c>
    </row>
    <row r="113">
      <c r="B113" t="inlineStr">
        <is>
          <t xml:space="preserve">    Daily Chats</t>
        </is>
      </c>
      <c r="C113">
        <f>'Model Inputs'!C87</f>
        <v/>
      </c>
      <c r="D113" s="35" t="inlineStr">
        <is>
          <t>chats/day</t>
        </is>
      </c>
    </row>
    <row r="114">
      <c r="B114" t="inlineStr">
        <is>
          <t xml:space="preserve">    Working Days</t>
        </is>
      </c>
      <c r="C114">
        <f>'Model Inputs'!C88</f>
        <v/>
      </c>
      <c r="D114" s="35" t="inlineStr">
        <is>
          <t>days/yr</t>
        </is>
      </c>
    </row>
    <row r="115">
      <c r="B115" t="inlineStr">
        <is>
          <t xml:space="preserve">    Aht Hours</t>
        </is>
      </c>
      <c r="C115">
        <f>'Model Inputs'!C89</f>
        <v/>
      </c>
      <c r="D115" s="35" t="inlineStr">
        <is>
          <t>hours</t>
        </is>
      </c>
    </row>
    <row r="116">
      <c r="B116" t="inlineStr">
        <is>
          <t xml:space="preserve">    Fte Rate</t>
        </is>
      </c>
      <c r="C116">
        <f>'Model Inputs'!C90</f>
        <v/>
      </c>
      <c r="D116" s="35" t="inlineStr">
        <is>
          <t>USD/hr</t>
        </is>
      </c>
    </row>
    <row r="117">
      <c r="B117" s="3" t="inlineStr">
        <is>
          <t xml:space="preserve">    Baseline</t>
        </is>
      </c>
      <c r="C117" s="36">
        <f>C113 * C114 * C115 * C116</f>
        <v/>
      </c>
      <c r="D117" s="35" t="inlineStr">
        <is>
          <t>USD/year</t>
        </is>
      </c>
    </row>
    <row r="118">
      <c r="B118" s="3" t="inlineStr">
        <is>
          <t xml:space="preserve">    Backbase Impact</t>
        </is>
      </c>
      <c r="C118" s="37">
        <f>'Model Inputs'!C91</f>
        <v/>
      </c>
      <c r="D118" s="31" t="inlineStr">
        <is>
          <t>% of baseline captured by Backbase</t>
        </is>
      </c>
    </row>
    <row r="119">
      <c r="B119" s="38" t="inlineStr">
        <is>
          <t xml:space="preserve">    Annual Benefit</t>
        </is>
      </c>
      <c r="C119" s="39">
        <f>C117*C118</f>
        <v/>
      </c>
      <c r="D119" s="40" t="inlineStr">
        <is>
          <t>USD/year (scenario-adjusted)</t>
        </is>
      </c>
    </row>
    <row r="121">
      <c r="B121" s="41" t="inlineStr">
        <is>
          <t xml:space="preserve">  Email Volume Deflection &amp; Time Reduction</t>
        </is>
      </c>
      <c r="D121" s="31" t="inlineStr">
        <is>
          <t>Cost</t>
        </is>
      </c>
    </row>
    <row r="122">
      <c r="B122" s="16" t="inlineStr">
        <is>
          <t>Factor</t>
        </is>
      </c>
      <c r="C122" s="16" t="inlineStr">
        <is>
          <t>Value</t>
        </is>
      </c>
      <c r="D122" s="16" t="inlineStr">
        <is>
          <t>Unit</t>
        </is>
      </c>
    </row>
    <row r="123">
      <c r="B123" t="inlineStr">
        <is>
          <t xml:space="preserve">    Annual Emails</t>
        </is>
      </c>
      <c r="C123" s="34">
        <f>'Model Inputs'!C96</f>
        <v/>
      </c>
      <c r="D123" s="35" t="inlineStr">
        <is>
          <t>emails/yr</t>
        </is>
      </c>
    </row>
    <row r="124">
      <c r="B124" t="inlineStr">
        <is>
          <t xml:space="preserve">    Handling Time Hours</t>
        </is>
      </c>
      <c r="C124">
        <f>'Model Inputs'!C97</f>
        <v/>
      </c>
      <c r="D124" s="35" t="inlineStr">
        <is>
          <t>hours</t>
        </is>
      </c>
    </row>
    <row r="125">
      <c r="B125" t="inlineStr">
        <is>
          <t xml:space="preserve">    Fte Rate</t>
        </is>
      </c>
      <c r="C125">
        <f>'Model Inputs'!C98</f>
        <v/>
      </c>
      <c r="D125" s="35" t="inlineStr">
        <is>
          <t>USD/hr</t>
        </is>
      </c>
    </row>
    <row r="126">
      <c r="B126" s="3" t="inlineStr">
        <is>
          <t xml:space="preserve">    Baseline</t>
        </is>
      </c>
      <c r="C126" s="36">
        <f>C123 * C124 * C125</f>
        <v/>
      </c>
      <c r="D126" s="35" t="inlineStr">
        <is>
          <t>USD/year</t>
        </is>
      </c>
    </row>
    <row r="127">
      <c r="B127" s="3" t="inlineStr">
        <is>
          <t xml:space="preserve">    Backbase Impact</t>
        </is>
      </c>
      <c r="C127" s="37">
        <f>'Model Inputs'!C99</f>
        <v/>
      </c>
      <c r="D127" s="31" t="inlineStr">
        <is>
          <t>% of baseline captured by Backbase</t>
        </is>
      </c>
    </row>
    <row r="128">
      <c r="B128" s="38" t="inlineStr">
        <is>
          <t xml:space="preserve">    Annual Benefit</t>
        </is>
      </c>
      <c r="C128" s="39">
        <f>C126*C127</f>
        <v/>
      </c>
      <c r="D128" s="40" t="inlineStr">
        <is>
          <t>USD/year (scenario-adjusted)</t>
        </is>
      </c>
    </row>
    <row r="130">
      <c r="B130" s="41" t="inlineStr">
        <is>
          <t xml:space="preserve">  Document Rejection Rework Reduction</t>
        </is>
      </c>
      <c r="D130" s="31" t="inlineStr">
        <is>
          <t>Cost</t>
        </is>
      </c>
    </row>
    <row r="131">
      <c r="B131" s="16" t="inlineStr">
        <is>
          <t>Factor</t>
        </is>
      </c>
      <c r="C131" s="16" t="inlineStr">
        <is>
          <t>Value</t>
        </is>
      </c>
      <c r="D131" s="16" t="inlineStr">
        <is>
          <t>Unit</t>
        </is>
      </c>
    </row>
    <row r="132">
      <c r="B132" t="inlineStr">
        <is>
          <t xml:space="preserve">    Annual Submissions</t>
        </is>
      </c>
      <c r="C132" s="34">
        <f>'Model Inputs'!C104</f>
        <v/>
      </c>
      <c r="D132" s="35" t="inlineStr">
        <is>
          <t>docs/yr</t>
        </is>
      </c>
    </row>
    <row r="133">
      <c r="B133" t="inlineStr">
        <is>
          <t xml:space="preserve">    Rejection Rate</t>
        </is>
      </c>
      <c r="C133">
        <f>'Model Inputs'!C105</f>
        <v/>
      </c>
      <c r="D133" s="35" t="inlineStr">
        <is>
          <t>ratio</t>
        </is>
      </c>
    </row>
    <row r="134">
      <c r="B134" t="inlineStr">
        <is>
          <t xml:space="preserve">    Rework Time Hours</t>
        </is>
      </c>
      <c r="C134">
        <f>'Model Inputs'!C106</f>
        <v/>
      </c>
      <c r="D134" s="35" t="inlineStr">
        <is>
          <t>hours</t>
        </is>
      </c>
    </row>
    <row r="135">
      <c r="B135" t="inlineStr">
        <is>
          <t xml:space="preserve">    Fte Rate</t>
        </is>
      </c>
      <c r="C135">
        <f>'Model Inputs'!C107</f>
        <v/>
      </c>
      <c r="D135" s="35" t="inlineStr">
        <is>
          <t>USD/hr</t>
        </is>
      </c>
    </row>
    <row r="136">
      <c r="B136" s="3" t="inlineStr">
        <is>
          <t xml:space="preserve">    Baseline</t>
        </is>
      </c>
      <c r="C136" s="36">
        <f>C132 * C133 * C134 * C135</f>
        <v/>
      </c>
      <c r="D136" s="35" t="inlineStr">
        <is>
          <t>USD/year</t>
        </is>
      </c>
    </row>
    <row r="137">
      <c r="B137" s="3" t="inlineStr">
        <is>
          <t xml:space="preserve">    Backbase Impact</t>
        </is>
      </c>
      <c r="C137" s="37">
        <f>'Model Inputs'!C108</f>
        <v/>
      </c>
      <c r="D137" s="31" t="inlineStr">
        <is>
          <t>% of baseline captured by Backbase</t>
        </is>
      </c>
    </row>
    <row r="138">
      <c r="B138" s="38" t="inlineStr">
        <is>
          <t xml:space="preserve">    Annual Benefit</t>
        </is>
      </c>
      <c r="C138" s="39">
        <f>C136*C137</f>
        <v/>
      </c>
      <c r="D138" s="40" t="inlineStr">
        <is>
          <t>USD/year (scenario-adjusted)</t>
        </is>
      </c>
    </row>
    <row r="140">
      <c r="B140" s="41" t="inlineStr">
        <is>
          <t xml:space="preserve">  IRA Withdrawal Process Automation</t>
        </is>
      </c>
      <c r="D140" s="31" t="inlineStr">
        <is>
          <t>Cost</t>
        </is>
      </c>
    </row>
    <row r="141">
      <c r="B141" s="16" t="inlineStr">
        <is>
          <t>Factor</t>
        </is>
      </c>
      <c r="C141" s="16" t="inlineStr">
        <is>
          <t>Value</t>
        </is>
      </c>
      <c r="D141" s="16" t="inlineStr">
        <is>
          <t>Unit</t>
        </is>
      </c>
    </row>
    <row r="142">
      <c r="B142" t="inlineStr">
        <is>
          <t xml:space="preserve">    Annual Ira Cases</t>
        </is>
      </c>
      <c r="C142" s="34">
        <f>'Model Inputs'!C113</f>
        <v/>
      </c>
      <c r="D142" s="35" t="inlineStr">
        <is>
          <t>cases/yr</t>
        </is>
      </c>
    </row>
    <row r="143">
      <c r="B143" t="inlineStr">
        <is>
          <t xml:space="preserve">    Processing Time Hours</t>
        </is>
      </c>
      <c r="C143">
        <f>'Model Inputs'!C114</f>
        <v/>
      </c>
      <c r="D143" s="35" t="inlineStr">
        <is>
          <t>hours</t>
        </is>
      </c>
    </row>
    <row r="144">
      <c r="B144" t="inlineStr">
        <is>
          <t xml:space="preserve">    Fte Rate</t>
        </is>
      </c>
      <c r="C144">
        <f>'Model Inputs'!C115</f>
        <v/>
      </c>
      <c r="D144" s="35" t="inlineStr">
        <is>
          <t>USD/hr</t>
        </is>
      </c>
    </row>
    <row r="145">
      <c r="B145" s="3" t="inlineStr">
        <is>
          <t xml:space="preserve">    Baseline</t>
        </is>
      </c>
      <c r="C145" s="36">
        <f>C142 * C143 * C144</f>
        <v/>
      </c>
      <c r="D145" s="35" t="inlineStr">
        <is>
          <t>USD/year</t>
        </is>
      </c>
    </row>
    <row r="146">
      <c r="B146" s="3" t="inlineStr">
        <is>
          <t xml:space="preserve">    Backbase Impact</t>
        </is>
      </c>
      <c r="C146" s="37">
        <f>'Model Inputs'!C116</f>
        <v/>
      </c>
      <c r="D146" s="31" t="inlineStr">
        <is>
          <t>% of baseline captured by Backbase</t>
        </is>
      </c>
    </row>
    <row r="147">
      <c r="B147" s="38" t="inlineStr">
        <is>
          <t xml:space="preserve">    Annual Benefit</t>
        </is>
      </c>
      <c r="C147" s="39">
        <f>C145*C146</f>
        <v/>
      </c>
      <c r="D147" s="40" t="inlineStr">
        <is>
          <t>USD/year (scenario-adjusted)</t>
        </is>
      </c>
    </row>
    <row r="149">
      <c r="B149" s="29" t="inlineStr">
        <is>
          <t>Servicing Cost Avoidance</t>
        </is>
      </c>
    </row>
    <row r="150">
      <c r="B150" t="inlineStr">
        <is>
          <t xml:space="preserve">  Servicing Total (see Servicing Detail sheet)</t>
        </is>
      </c>
      <c r="C150" s="34" t="n">
        <v>0</v>
      </c>
    </row>
    <row r="152">
      <c r="B152" s="38" t="inlineStr">
        <is>
          <t>Total: Servicing Cost Reduction — Chat/Email Deflection + Process Automation</t>
        </is>
      </c>
      <c r="C152" s="39">
        <f>C119+C128+C138+C147+C150</f>
        <v/>
      </c>
    </row>
    <row r="155">
      <c r="B155" s="32" t="inlineStr">
        <is>
          <t>Advisor Referral Pipeline Acceleration</t>
        </is>
      </c>
    </row>
    <row r="156">
      <c r="B156" s="30" t="inlineStr">
        <is>
          <t>Revenue Generation</t>
        </is>
      </c>
    </row>
    <row r="157">
      <c r="B157" s="33" t="inlineStr">
        <is>
          <t xml:space="preserve">  Incremental FA Revenue from Accelerated Referral Pipeline</t>
        </is>
      </c>
      <c r="D157" s="31" t="inlineStr">
        <is>
          <t>Revenue</t>
        </is>
      </c>
    </row>
    <row r="158">
      <c r="B158" s="16" t="inlineStr">
        <is>
          <t>Factor</t>
        </is>
      </c>
      <c r="C158" s="16" t="inlineStr">
        <is>
          <t>Value</t>
        </is>
      </c>
      <c r="D158" s="16" t="inlineStr">
        <is>
          <t>Unit</t>
        </is>
      </c>
    </row>
    <row r="159">
      <c r="B159" t="inlineStr">
        <is>
          <t xml:space="preserve">    Addressable Referral Revenue</t>
        </is>
      </c>
      <c r="C159" s="34">
        <f>'Model Inputs'!C123</f>
        <v/>
      </c>
      <c r="D159" s="35" t="inlineStr">
        <is>
          <t>USD/yr</t>
        </is>
      </c>
    </row>
    <row r="160">
      <c r="B160" s="3" t="inlineStr">
        <is>
          <t xml:space="preserve">    Baseline</t>
        </is>
      </c>
      <c r="C160" s="36">
        <f>C159</f>
        <v/>
      </c>
      <c r="D160" s="35" t="inlineStr">
        <is>
          <t>USD/year</t>
        </is>
      </c>
    </row>
    <row r="161">
      <c r="B161" s="3" t="inlineStr">
        <is>
          <t xml:space="preserve">    Backbase Impact</t>
        </is>
      </c>
      <c r="C161" s="37">
        <f>'Model Inputs'!C124</f>
        <v/>
      </c>
      <c r="D161" s="31" t="inlineStr">
        <is>
          <t>% of baseline captured by Backbase</t>
        </is>
      </c>
    </row>
    <row r="162">
      <c r="B162" s="38" t="inlineStr">
        <is>
          <t xml:space="preserve">    Annual Benefit</t>
        </is>
      </c>
      <c r="C162" s="39">
        <f>C160*C161</f>
        <v/>
      </c>
      <c r="D162" s="40" t="inlineStr">
        <is>
          <t>USD/year (scenario-adjusted)</t>
        </is>
      </c>
    </row>
    <row r="165">
      <c r="B165" s="38" t="inlineStr">
        <is>
          <t>Total: Advisor Referral Pipeline Acceleration</t>
        </is>
      </c>
      <c r="C165" s="39">
        <f>C162</f>
        <v/>
      </c>
    </row>
    <row r="168">
      <c r="B168" s="32" t="inlineStr">
        <is>
          <t>Member Onboarding Cost Reduction</t>
        </is>
      </c>
    </row>
    <row r="169">
      <c r="B169" s="29" t="inlineStr">
        <is>
          <t>Cost Reduction</t>
        </is>
      </c>
    </row>
    <row r="170">
      <c r="B170" s="41" t="inlineStr">
        <is>
          <t xml:space="preserve">  Per-Account Processing Cost Reduction via Digital STP</t>
        </is>
      </c>
      <c r="D170" s="31" t="inlineStr">
        <is>
          <t>Cost</t>
        </is>
      </c>
    </row>
    <row r="171">
      <c r="B171" s="16" t="inlineStr">
        <is>
          <t>Factor</t>
        </is>
      </c>
      <c r="C171" s="16" t="inlineStr">
        <is>
          <t>Value</t>
        </is>
      </c>
      <c r="D171" s="16" t="inlineStr">
        <is>
          <t>Unit</t>
        </is>
      </c>
    </row>
    <row r="172">
      <c r="B172" t="inlineStr">
        <is>
          <t xml:space="preserve">    Annual New Accounts</t>
        </is>
      </c>
      <c r="C172" s="34">
        <f>'Model Inputs'!C131</f>
        <v/>
      </c>
      <c r="D172" s="35" t="inlineStr">
        <is>
          <t>accounts/yr</t>
        </is>
      </c>
    </row>
    <row r="173">
      <c r="B173" t="inlineStr">
        <is>
          <t xml:space="preserve">    Addressable Cost Per Account</t>
        </is>
      </c>
      <c r="C173">
        <f>'Model Inputs'!C132</f>
        <v/>
      </c>
      <c r="D173" s="35" t="inlineStr">
        <is>
          <t>USD</t>
        </is>
      </c>
    </row>
    <row r="174">
      <c r="B174" s="3" t="inlineStr">
        <is>
          <t xml:space="preserve">    Baseline</t>
        </is>
      </c>
      <c r="C174" s="36">
        <f>C172 * C173</f>
        <v/>
      </c>
      <c r="D174" s="35" t="inlineStr">
        <is>
          <t>USD/year</t>
        </is>
      </c>
    </row>
    <row r="175">
      <c r="B175" s="3" t="inlineStr">
        <is>
          <t xml:space="preserve">    Backbase Impact</t>
        </is>
      </c>
      <c r="C175" s="37">
        <f>'Model Inputs'!C133</f>
        <v/>
      </c>
      <c r="D175" s="31" t="inlineStr">
        <is>
          <t>% of baseline captured by Backbase</t>
        </is>
      </c>
    </row>
    <row r="176">
      <c r="B176" s="38" t="inlineStr">
        <is>
          <t xml:space="preserve">    Annual Benefit</t>
        </is>
      </c>
      <c r="C176" s="39">
        <f>C174*C175</f>
        <v/>
      </c>
      <c r="D176" s="40" t="inlineStr">
        <is>
          <t>USD/year (scenario-adjusted)</t>
        </is>
      </c>
    </row>
    <row r="179">
      <c r="B179" s="38" t="inlineStr">
        <is>
          <t>Total: Member Onboarding Cost Reduction</t>
        </is>
      </c>
      <c r="C179" s="39">
        <f>C176</f>
        <v/>
      </c>
    </row>
    <row r="182">
      <c r="B182" s="21" t="inlineStr">
        <is>
          <t>GRAND TOTAL — ALL LEVERS</t>
        </is>
      </c>
    </row>
    <row r="183">
      <c r="B183" s="16" t="inlineStr"/>
      <c r="C183" s="16" t="inlineStr">
        <is>
          <t>Annual Benefit</t>
        </is>
      </c>
      <c r="D183" s="16" t="inlineStr"/>
    </row>
    <row r="184">
      <c r="B184" s="4" t="inlineStr">
        <is>
          <t>Total Annual Benefit (Scenario-Adjusted, Steady State)</t>
        </is>
      </c>
      <c r="C184" s="42">
        <f>C17+C32+C47+C62+C77+C91+C106+C152+C165+C179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>
      <c r="B1" s="9" t="inlineStr">
        <is>
          <t>Customer Servicing — Channel Analysis</t>
        </is>
      </c>
    </row>
    <row r="3">
      <c r="B3" s="12" t="inlineStr">
        <is>
          <t>Vol Saving = Baseline × Vol Deflection. Time Saving = Remaining Vol × Time × Time Reduction × Rate. Total = Vol + Time Saving.</t>
        </is>
      </c>
    </row>
    <row r="5">
      <c r="B5" s="16" t="inlineStr">
        <is>
          <t>Task</t>
        </is>
      </c>
      <c r="C5" s="16" t="inlineStr">
        <is>
          <t>Volume</t>
        </is>
      </c>
      <c r="D5" s="16" t="inlineStr">
        <is>
          <t>Time (hrs)</t>
        </is>
      </c>
      <c r="E5" s="16" t="inlineStr">
        <is>
          <t>Rate</t>
        </is>
      </c>
      <c r="F5" s="16" t="inlineStr">
        <is>
          <t>Baseline</t>
        </is>
      </c>
      <c r="G5" s="16" t="inlineStr">
        <is>
          <t>Vol Deflection</t>
        </is>
      </c>
      <c r="H5" s="16" t="inlineStr">
        <is>
          <t>Time Reduction</t>
        </is>
      </c>
      <c r="I5" s="16" t="inlineStr">
        <is>
          <t>Vol Saving</t>
        </is>
      </c>
      <c r="J5" s="16" t="inlineStr">
        <is>
          <t>Time Saving</t>
        </is>
      </c>
      <c r="K5" s="16" t="inlineStr">
        <is>
          <t>Total Saved</t>
        </is>
      </c>
      <c r="L5" s="16" t="inlineStr">
        <is>
          <t>Source</t>
        </is>
      </c>
    </row>
    <row r="6">
      <c r="B6" s="43" t="inlineStr">
        <is>
          <t xml:space="preserve">Evidence: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7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10">
      <c r="B10" s="13" t="inlineStr">
        <is>
          <t>FINANCIAL PARAMETERS</t>
        </is>
      </c>
    </row>
    <row r="11">
      <c r="B11" t="inlineStr">
        <is>
          <t>Discount Rate (WACC)</t>
        </is>
      </c>
      <c r="C11" s="44" t="n">
        <v>0.1</v>
      </c>
    </row>
    <row r="12">
      <c r="B12" t="inlineStr">
        <is>
          <t>Analysis Period (Years)</t>
        </is>
      </c>
      <c r="C12" t="n">
        <v>5</v>
      </c>
    </row>
    <row r="13">
      <c r="B13" t="inlineStr">
        <is>
          <t>YoY Growth Rate</t>
        </is>
      </c>
      <c r="C13" s="44" t="n">
        <v>0</v>
      </c>
    </row>
    <row r="15">
      <c r="B15" s="13" t="inlineStr">
        <is>
          <t>LEVER GROUP INPUTS</t>
        </is>
      </c>
    </row>
    <row r="16">
      <c r="B16" s="29" t="inlineStr">
        <is>
          <t>Banking-to-DI Cross-Sell Activation</t>
        </is>
      </c>
    </row>
    <row r="17">
      <c r="B17" s="45" t="inlineStr">
        <is>
          <t xml:space="preserve">  Incremental Fee Revenue from Banking-to-DI Cross-Sell</t>
        </is>
      </c>
    </row>
    <row r="18">
      <c r="B18" t="inlineStr">
        <is>
          <t xml:space="preserve">    Eligible Members</t>
        </is>
      </c>
      <c r="C18" s="5" t="n">
        <v>14000000</v>
      </c>
      <c r="D18" t="inlineStr">
        <is>
          <t>HIGH</t>
        </is>
      </c>
      <c r="E18" s="35" t="inlineStr"/>
      <c r="F18" s="35" t="inlineStr">
        <is>
          <t>NFCU total membership (E1)</t>
        </is>
      </c>
    </row>
    <row r="19">
      <c r="B19" t="inlineStr">
        <is>
          <t xml:space="preserve">    Penetration Gap</t>
        </is>
      </c>
      <c r="C19" s="6" t="n">
        <v>0.022</v>
      </c>
      <c r="D19" t="inlineStr">
        <is>
          <t>MEDIUM</t>
        </is>
      </c>
      <c r="E19" s="35" t="inlineStr"/>
      <c r="F19" s="35" t="inlineStr">
        <is>
          <t>Gap: 3% CU benchmark - 0.8% current (E8, E9)</t>
        </is>
      </c>
    </row>
    <row r="20">
      <c r="B20" t="inlineStr">
        <is>
          <t xml:space="preserve">    Blended Revenue Per Member</t>
        </is>
      </c>
      <c r="C20" s="6" t="n">
        <v>32.33</v>
      </c>
      <c r="D20" t="inlineStr">
        <is>
          <t>MEDIUM</t>
        </is>
      </c>
      <c r="E20" s="35" t="inlineStr"/>
      <c r="F20" s="35" t="inlineStr">
        <is>
          <t>Derived: (0.667 × $10K × 0.275%) + (0.333 × $42)</t>
        </is>
      </c>
    </row>
    <row r="21">
      <c r="B21" t="inlineStr">
        <is>
          <t xml:space="preserve">    Backbase Impact</t>
        </is>
      </c>
      <c r="C21" s="6" t="n">
        <v>0.4</v>
      </c>
      <c r="D21" t="inlineStr">
        <is>
          <t>MEDIUM</t>
        </is>
      </c>
      <c r="E21" s="35" t="inlineStr"/>
      <c r="F21" s="35" t="inlineStr">
        <is>
          <t>Gap capture rate: 40% of 2.2pp gap. P3 — standard capture rate for cross-sell with NBA engine (Digital Engage). No direct P1 investing cross-sell data in playbook; roi_levers.md Lever 1 establishes framework.</t>
        </is>
      </c>
    </row>
    <row r="22">
      <c r="B22" t="inlineStr">
        <is>
          <t xml:space="preserve">    Baseline Annual</t>
        </is>
      </c>
      <c r="C22" s="34">
        <f>C18 * C19 * C20</f>
        <v/>
      </c>
    </row>
    <row r="23">
      <c r="B23" t="inlineStr">
        <is>
          <t xml:space="preserve">    Annual Benefit (Steady State)</t>
        </is>
      </c>
      <c r="C23" s="46">
        <f>C22*C21</f>
        <v/>
      </c>
    </row>
    <row r="26">
      <c r="B26" s="29" t="inlineStr">
        <is>
          <t>Onboarding-to-Funding Funnel Recovery</t>
        </is>
      </c>
    </row>
    <row r="27">
      <c r="B27" s="45" t="inlineStr">
        <is>
          <t xml:space="preserve">  Recovered Fee Revenue from Unfunded Account Activation</t>
        </is>
      </c>
    </row>
    <row r="28">
      <c r="B28" t="inlineStr">
        <is>
          <t xml:space="preserve">    Annual New Accounts</t>
        </is>
      </c>
      <c r="C28" s="6" t="n">
        <v>40000</v>
      </c>
      <c r="D28" t="inlineStr">
        <is>
          <t>MEDIUM</t>
        </is>
      </c>
      <c r="E28" s="35" t="inlineStr"/>
      <c r="F28" s="35" t="inlineStr">
        <is>
          <t>Estimated: 115K-to-800K growth trajectory, conservative at 40K/yr vs 137K required (E1)</t>
        </is>
      </c>
    </row>
    <row r="29">
      <c r="B29" t="inlineStr">
        <is>
          <t xml:space="preserve">    Unfunded Rate</t>
        </is>
      </c>
      <c r="C29" s="5" t="n">
        <v>0.5</v>
      </c>
      <c r="D29" t="inlineStr">
        <is>
          <t>HIGH</t>
        </is>
      </c>
      <c r="E29" s="35" t="inlineStr"/>
      <c r="F29" s="35" t="inlineStr">
        <is>
          <t>50% of closed accounts never funded (E5, E21)</t>
        </is>
      </c>
    </row>
    <row r="30">
      <c r="B30" t="inlineStr">
        <is>
          <t xml:space="preserve">    Blended Revenue Per Funded</t>
        </is>
      </c>
      <c r="C30" s="6" t="n">
        <v>23.16</v>
      </c>
      <c r="D30" t="inlineStr">
        <is>
          <t>MEDIUM</t>
        </is>
      </c>
      <c r="E30" s="35" t="inlineStr"/>
      <c r="F30" s="35" t="inlineStr">
        <is>
          <t>Derived: (0.667 × $5K × 0.275%) + (0.333 × $42)</t>
        </is>
      </c>
    </row>
    <row r="31">
      <c r="B31" t="inlineStr">
        <is>
          <t xml:space="preserve">    Backbase Impact</t>
        </is>
      </c>
      <c r="C31" s="5" t="n">
        <v>0.38</v>
      </c>
      <c r="D31" t="inlineStr">
        <is>
          <t>HIGH</t>
        </is>
      </c>
      <c r="E31" s="35" t="inlineStr"/>
      <c r="F31" s="35" t="inlineStr">
        <is>
          <t>P1 — Consulting Playbook: Eastern Bank (USA, Vendor: Backbase) achieved 69% funded rate vs NFIS 50%. Improvement: 19pp. Capture of unfunded pool: 19/50 = 38%. Comparable because: US bank, Backbase Digital Onboarding with Account Funding journey.</t>
        </is>
      </c>
    </row>
    <row r="32">
      <c r="B32" t="inlineStr">
        <is>
          <t xml:space="preserve">    Baseline Annual</t>
        </is>
      </c>
      <c r="C32" s="34">
        <f>C28 * C29 * C30</f>
        <v/>
      </c>
    </row>
    <row r="33">
      <c r="B33" t="inlineStr">
        <is>
          <t xml:space="preserve">    Annual Benefit (Steady State)</t>
        </is>
      </c>
      <c r="C33" s="46">
        <f>C32*C31</f>
        <v/>
      </c>
    </row>
    <row r="36">
      <c r="B36" s="29" t="inlineStr">
        <is>
          <t>AUM Growth via Digital Engagement</t>
        </is>
      </c>
    </row>
    <row r="37">
      <c r="B37" s="45" t="inlineStr">
        <is>
          <t xml:space="preserve">  Incremental Fee Revenue from AUM Uplift on Engaged Robo Members</t>
        </is>
      </c>
    </row>
    <row r="38">
      <c r="B38" t="inlineStr">
        <is>
          <t xml:space="preserve">    Robo Members</t>
        </is>
      </c>
      <c r="C38" s="6" t="n">
        <v>76705</v>
      </c>
      <c r="D38" t="inlineStr">
        <is>
          <t>MEDIUM</t>
        </is>
      </c>
      <c r="E38" s="35" t="inlineStr"/>
      <c r="F38" s="35" t="inlineStr">
        <is>
          <t>Derived: 115K × 0.667 robo mix (E6)</t>
        </is>
      </c>
    </row>
    <row r="39">
      <c r="B39" t="inlineStr">
        <is>
          <t xml:space="preserve">    Avg Aum</t>
        </is>
      </c>
      <c r="C39" s="6" t="n">
        <v>4350</v>
      </c>
      <c r="D39" t="inlineStr">
        <is>
          <t>MEDIUM</t>
        </is>
      </c>
      <c r="E39" s="35" t="inlineStr"/>
      <c r="F39" s="35" t="inlineStr">
        <is>
          <t>Derived: $500M / 115K members (E3)</t>
        </is>
      </c>
    </row>
    <row r="40">
      <c r="B40" t="inlineStr">
        <is>
          <t xml:space="preserve">    Fee Rate</t>
        </is>
      </c>
      <c r="C40" s="6" t="n">
        <v>0.00275</v>
      </c>
      <c r="D40" t="inlineStr">
        <is>
          <t>MEDIUM</t>
        </is>
      </c>
      <c r="E40" s="35" t="inlineStr"/>
      <c r="F40" s="35" t="inlineStr">
        <is>
          <t>Robo advisory fee rate ~0.275%</t>
        </is>
      </c>
    </row>
    <row r="41">
      <c r="B41" t="inlineStr">
        <is>
          <t xml:space="preserve">    Backbase Impact</t>
        </is>
      </c>
      <c r="C41" s="6" t="n">
        <v>0.15</v>
      </c>
      <c r="D41" t="inlineStr">
        <is>
          <t>MEDIUM</t>
        </is>
      </c>
      <c r="E41" s="35" t="inlineStr"/>
      <c r="F41" s="35" t="inlineStr">
        <is>
          <t>P2 — McKinsey wealth engagement research: engaged digital investors show 15-20% AUM uplift vs non-engaged. Using 15% (base estimate). Capability: Digital Engage behavioral triggers, Digital Invest goal tracking, surplus cash alerts.</t>
        </is>
      </c>
    </row>
    <row r="42">
      <c r="B42" t="inlineStr">
        <is>
          <t xml:space="preserve">    Baseline Annual</t>
        </is>
      </c>
      <c r="C42" s="34">
        <f>C38 * C39 * C40</f>
        <v/>
      </c>
    </row>
    <row r="43">
      <c r="B43" t="inlineStr">
        <is>
          <t xml:space="preserve">    Annual Benefit (Steady State)</t>
        </is>
      </c>
      <c r="C43" s="46">
        <f>C42*C41</f>
        <v/>
      </c>
    </row>
    <row r="46">
      <c r="B46" s="29" t="inlineStr">
        <is>
          <t>DI-to-FA Tier Upgrade — Automated Threshold Routing</t>
        </is>
      </c>
    </row>
    <row r="47">
      <c r="B47" s="45" t="inlineStr">
        <is>
          <t xml:space="preserve">  Incremental Fee Revenue from DI-to-FA Conversions</t>
        </is>
      </c>
    </row>
    <row r="48">
      <c r="B48" t="inlineStr">
        <is>
          <t xml:space="preserve">    Eligible Members</t>
        </is>
      </c>
      <c r="C48" s="6" t="n">
        <v>8050</v>
      </c>
      <c r="D48" t="inlineStr">
        <is>
          <t>LOW</t>
        </is>
      </c>
      <c r="E48" s="35" t="inlineStr"/>
      <c r="F48" s="35" t="inlineStr">
        <is>
          <t>Estimated: 7% of 115K DI members above FA threshold ($50K+). Grows as DI base expands.</t>
        </is>
      </c>
    </row>
    <row r="49">
      <c r="B49" t="inlineStr">
        <is>
          <t xml:space="preserve">    Avg Aum Eligible</t>
        </is>
      </c>
      <c r="C49" s="6" t="n">
        <v>75000</v>
      </c>
      <c r="D49" t="inlineStr">
        <is>
          <t>LOW</t>
        </is>
      </c>
      <c r="E49" s="35" t="inlineStr"/>
      <c r="F49" s="35" t="inlineStr">
        <is>
          <t>Estimated avg AUM for threshold-eligible members</t>
        </is>
      </c>
    </row>
    <row r="50">
      <c r="B50" t="inlineStr">
        <is>
          <t xml:space="preserve">    Fee Delta</t>
        </is>
      </c>
      <c r="C50" s="6" t="n">
        <v>0.00375</v>
      </c>
      <c r="D50" t="inlineStr">
        <is>
          <t>LOW</t>
        </is>
      </c>
      <c r="E50" s="35" t="inlineStr"/>
      <c r="F50" s="35" t="inlineStr">
        <is>
          <t>FA fee (0.65%) minus Robo fee (0.275%) = 37.5 bps delta</t>
        </is>
      </c>
    </row>
    <row r="51">
      <c r="B51" t="inlineStr">
        <is>
          <t xml:space="preserve">    Backbase Impact</t>
        </is>
      </c>
      <c r="C51" s="6" t="n">
        <v>0.3</v>
      </c>
      <c r="D51" t="inlineStr">
        <is>
          <t>LOW</t>
        </is>
      </c>
      <c r="E51" s="35" t="inlineStr"/>
      <c r="F51" s="35" t="inlineStr">
        <is>
          <t>P3 — Consultant assumption. No P1 playbook data for automated tier-routing in investing. No P2 published research found for 'automated AUM threshold advisor routing conversion rate'. Reasoning: 30% capture is conservative for automated detection + streamlined upgrade — members already demonstrated investing behavior. Capability: Digital Invest AUM monitoring + Digital Assist advisor notification.</t>
        </is>
      </c>
    </row>
    <row r="52">
      <c r="B52" t="inlineStr">
        <is>
          <t xml:space="preserve">    Baseline Annual</t>
        </is>
      </c>
      <c r="C52" s="34">
        <f>C48 * C49 * C50</f>
        <v/>
      </c>
    </row>
    <row r="53">
      <c r="B53" t="inlineStr">
        <is>
          <t xml:space="preserve">    Annual Benefit (Steady State)</t>
        </is>
      </c>
      <c r="C53" s="46">
        <f>C52*C51</f>
        <v/>
      </c>
    </row>
    <row r="56">
      <c r="B56" s="29" t="inlineStr">
        <is>
          <t>ACAT / Asset Consolidation</t>
        </is>
      </c>
    </row>
    <row r="57">
      <c r="B57" s="45" t="inlineStr">
        <is>
          <t xml:space="preserve">  Incremental Fee Revenue from ACAT Transfer Completion Improvement</t>
        </is>
      </c>
    </row>
    <row r="58">
      <c r="B58" t="inlineStr">
        <is>
          <t xml:space="preserve">    Acat Attempts</t>
        </is>
      </c>
      <c r="C58" s="6" t="n">
        <v>500</v>
      </c>
      <c r="D58" t="inlineStr">
        <is>
          <t>LOW</t>
        </is>
      </c>
      <c r="E58" s="35" t="inlineStr"/>
      <c r="F58" s="35" t="inlineStr">
        <is>
          <t>Estimated: ACAT is top request type (E102) but volume not disclosed. Conservative estimate.</t>
        </is>
      </c>
    </row>
    <row r="59">
      <c r="B59" t="inlineStr">
        <is>
          <t xml:space="preserve">    Avg Transfer Aum</t>
        </is>
      </c>
      <c r="C59" s="6" t="n">
        <v>75000</v>
      </c>
      <c r="D59" t="inlineStr">
        <is>
          <t>MEDIUM</t>
        </is>
      </c>
      <c r="E59" s="35" t="inlineStr"/>
      <c r="F59" s="35" t="inlineStr">
        <is>
          <t>Industry benchmark: $50K-$100K per ACAT transfer (roi_levers.md Lever 3)</t>
        </is>
      </c>
    </row>
    <row r="60">
      <c r="B60" t="inlineStr">
        <is>
          <t xml:space="preserve">    Fee Rate</t>
        </is>
      </c>
      <c r="C60" s="6" t="n">
        <v>0.00275</v>
      </c>
      <c r="D60" t="inlineStr">
        <is>
          <t>MEDIUM</t>
        </is>
      </c>
      <c r="E60" s="35" t="inlineStr"/>
      <c r="F60" s="35" t="inlineStr">
        <is>
          <t>Robo advisory fee rate</t>
        </is>
      </c>
    </row>
    <row r="61">
      <c r="B61" t="inlineStr">
        <is>
          <t xml:space="preserve">    Backbase Impact</t>
        </is>
      </c>
      <c r="C61" s="6" t="n">
        <v>0.15</v>
      </c>
      <c r="D61" t="inlineStr">
        <is>
          <t>LOW</t>
        </is>
      </c>
      <c r="E61" s="35" t="inlineStr"/>
      <c r="F61" s="35" t="inlineStr">
        <is>
          <t>P3 — Consultant assumption. No P1 playbook data for digital ACAT completion rates. roi_levers.md Lever 3 suggests +15-20% completion improvement. Using 15% conservative. Capability: Digital Onboarding guided ACAT flow + Grand Central Apex integration. Delayed curve: 0 impact Y1-Y2 due to Apex migration dependency.</t>
        </is>
      </c>
    </row>
    <row r="62">
      <c r="B62" t="inlineStr">
        <is>
          <t xml:space="preserve">    Baseline Annual</t>
        </is>
      </c>
      <c r="C62" s="34">
        <f>C58 * C59 * C60</f>
        <v/>
      </c>
    </row>
    <row r="63">
      <c r="B63" t="inlineStr">
        <is>
          <t xml:space="preserve">    Annual Benefit (Steady State)</t>
        </is>
      </c>
      <c r="C63" s="46">
        <f>C62*C61</f>
        <v/>
      </c>
    </row>
    <row r="66">
      <c r="B66" s="29" t="inlineStr">
        <is>
          <t>Self-Directed to Managed/Robo Conversion</t>
        </is>
      </c>
    </row>
    <row r="67">
      <c r="B67" s="45" t="inlineStr">
        <is>
          <t xml:space="preserve">  Incremental Fee Revenue from SD-to-Robo Conversions</t>
        </is>
      </c>
    </row>
    <row r="68">
      <c r="B68" t="inlineStr">
        <is>
          <t xml:space="preserve">    Eligible Sd Members</t>
        </is>
      </c>
      <c r="C68" s="6" t="n">
        <v>7659</v>
      </c>
      <c r="D68" t="inlineStr">
        <is>
          <t>LOW</t>
        </is>
      </c>
      <c r="E68" s="35" t="inlineStr"/>
      <c r="F68" s="35" t="inlineStr">
        <is>
          <t>Derived: 115K × 0.333 SD mix × 20% above breakeven AUM ($15,273)</t>
        </is>
      </c>
    </row>
    <row r="69">
      <c r="B69" t="inlineStr">
        <is>
          <t xml:space="preserve">    Fee Delta</t>
        </is>
      </c>
      <c r="C69" s="6" t="n">
        <v>26.75</v>
      </c>
      <c r="D69" t="inlineStr">
        <is>
          <t>MEDIUM</t>
        </is>
      </c>
      <c r="E69" s="35" t="inlineStr"/>
      <c r="F69" s="35" t="inlineStr">
        <is>
          <t>Derived: ($25K × 0.275%) - $42/yr = $68.75 - $42 = $26.75 incremental revenue per converted member</t>
        </is>
      </c>
    </row>
    <row r="70">
      <c r="B70" t="inlineStr">
        <is>
          <t xml:space="preserve">    Backbase Impact</t>
        </is>
      </c>
      <c r="C70" s="6" t="n">
        <v>0.25</v>
      </c>
      <c r="D70" t="inlineStr">
        <is>
          <t>MEDIUM</t>
        </is>
      </c>
      <c r="E70" s="35" t="inlineStr"/>
      <c r="F70" s="35" t="inlineStr">
        <is>
          <t>P2 — roi_levers.md Lever 8: 3-8% SD-to-robo conversion rate. Using 5% of eligible (above-breakeven) pool = 25% of the 20% eligible segment. Capability: Digital Invest robo-advisory module + Digital Engage targeted campaigns.</t>
        </is>
      </c>
    </row>
    <row r="71">
      <c r="B71" t="inlineStr">
        <is>
          <t xml:space="preserve">    Baseline Annual</t>
        </is>
      </c>
      <c r="C71" s="34">
        <f>C68 * C69</f>
        <v/>
      </c>
    </row>
    <row r="72">
      <c r="B72" t="inlineStr">
        <is>
          <t xml:space="preserve">    Annual Benefit (Steady State)</t>
        </is>
      </c>
      <c r="C72" s="46">
        <f>C71*C70</f>
        <v/>
      </c>
    </row>
    <row r="75">
      <c r="B75" s="29" t="inlineStr">
        <is>
          <t>Retention &amp; Asset Outflow Prevention</t>
        </is>
      </c>
    </row>
    <row r="76">
      <c r="B76" s="45" t="inlineStr">
        <is>
          <t xml:space="preserve">  Protected Fee Revenue from Reduced Asset Outflow</t>
        </is>
      </c>
    </row>
    <row r="77">
      <c r="B77" t="inlineStr">
        <is>
          <t xml:space="preserve">    Total Aua</t>
        </is>
      </c>
      <c r="C77" s="5" t="n">
        <v>7400000000</v>
      </c>
      <c r="D77" t="inlineStr">
        <is>
          <t>HIGH</t>
        </is>
      </c>
      <c r="E77" s="35" t="inlineStr"/>
      <c r="F77" s="35" t="inlineStr">
        <is>
          <t>Total NFIS AUA including FA (E3). Justified: unified banking+investing experience benefits all tiers.</t>
        </is>
      </c>
    </row>
    <row r="78">
      <c r="B78" t="inlineStr">
        <is>
          <t xml:space="preserve">    Attrition Rate</t>
        </is>
      </c>
      <c r="C78" s="6" t="n">
        <v>0.07000000000000001</v>
      </c>
      <c r="D78" t="inlineStr">
        <is>
          <t>LOW</t>
        </is>
      </c>
      <c r="E78" s="35" t="inlineStr"/>
      <c r="F78" s="35" t="inlineStr">
        <is>
          <t>Estimated 7% annual attrition. Not directly disclosed; wealth benchmark range 5-9% (roi_levers.md). Competitor outflow confirmed (E15, E64).</t>
        </is>
      </c>
    </row>
    <row r="79">
      <c r="B79" t="inlineStr">
        <is>
          <t xml:space="preserve">    Blended Fee Rate</t>
        </is>
      </c>
      <c r="C79" s="6" t="n">
        <v>0.003</v>
      </c>
      <c r="D79" t="inlineStr">
        <is>
          <t>LOW</t>
        </is>
      </c>
      <c r="E79" s="35" t="inlineStr"/>
      <c r="F79" s="35" t="inlineStr">
        <is>
          <t>Blended across DI (0.275% robo / flat SD) and FA (~0.65%). Conservative at 30 bps.</t>
        </is>
      </c>
    </row>
    <row r="80">
      <c r="B80" t="inlineStr">
        <is>
          <t xml:space="preserve">    Backbase Impact</t>
        </is>
      </c>
      <c r="C80" s="6" t="n">
        <v>0.2857</v>
      </c>
      <c r="D80" t="inlineStr">
        <is>
          <t>MEDIUM</t>
        </is>
      </c>
      <c r="E80" s="35" t="inlineStr"/>
      <c r="F80" s="35" t="inlineStr">
        <is>
          <t>P2 — Tangerine/Scotiabank reference (wealth/benchmarks.md): 3% attrition reduction with digital platform. NFIS using 2pp improvement (conservative). 2/7 = 0.286. Capability: Digital Invest (experience), Digital Engage (TWB model integration, retention campaigns, volatility comms).</t>
        </is>
      </c>
    </row>
    <row r="81">
      <c r="B81" t="inlineStr">
        <is>
          <t xml:space="preserve">    Baseline Annual</t>
        </is>
      </c>
      <c r="C81" s="34">
        <f>C77 * C78 * C79</f>
        <v/>
      </c>
    </row>
    <row r="82">
      <c r="B82" t="inlineStr">
        <is>
          <t xml:space="preserve">    Annual Benefit (Steady State)</t>
        </is>
      </c>
      <c r="C82" s="46">
        <f>C81*C80</f>
        <v/>
      </c>
    </row>
    <row r="85">
      <c r="B85" s="29" t="inlineStr">
        <is>
          <t>Servicing Cost Reduction — Chat/Email Deflection + Process Automation</t>
        </is>
      </c>
    </row>
    <row r="86">
      <c r="B86" s="45" t="inlineStr">
        <is>
          <t xml:space="preserve">  Chat Volume Deflection &amp; Time Reduction</t>
        </is>
      </c>
    </row>
    <row r="87">
      <c r="B87" t="inlineStr">
        <is>
          <t xml:space="preserve">    Daily Chats</t>
        </is>
      </c>
      <c r="C87" s="5" t="n">
        <v>130</v>
      </c>
      <c r="D87" t="inlineStr">
        <is>
          <t>HIGH</t>
        </is>
      </c>
      <c r="E87" s="35" t="inlineStr"/>
      <c r="F87" s="35" t="inlineStr">
        <is>
          <t>Discovery (E38, E91)</t>
        </is>
      </c>
    </row>
    <row r="88">
      <c r="B88" t="inlineStr">
        <is>
          <t xml:space="preserve">    Working Days</t>
        </is>
      </c>
      <c r="C88" s="5" t="n">
        <v>260</v>
      </c>
      <c r="D88" t="inlineStr">
        <is>
          <t>HIGH</t>
        </is>
      </c>
      <c r="E88" s="35" t="inlineStr"/>
      <c r="F88" s="35" t="inlineStr">
        <is>
          <t>Standard</t>
        </is>
      </c>
    </row>
    <row r="89">
      <c r="B89" t="inlineStr">
        <is>
          <t xml:space="preserve">    Aht Hours</t>
        </is>
      </c>
      <c r="C89" s="5" t="n">
        <v>0.2113</v>
      </c>
      <c r="D89" t="inlineStr">
        <is>
          <t>HIGH</t>
        </is>
      </c>
      <c r="E89" s="35" t="inlineStr"/>
      <c r="F89" s="35" t="inlineStr">
        <is>
          <t>12m41s = 0.2113 hrs (E91)</t>
        </is>
      </c>
    </row>
    <row r="90">
      <c r="B90" t="inlineStr">
        <is>
          <t xml:space="preserve">    Fte Rate</t>
        </is>
      </c>
      <c r="C90" s="6" t="n">
        <v>55</v>
      </c>
      <c r="D90" t="inlineStr">
        <is>
          <t>MEDIUM</t>
        </is>
      </c>
      <c r="E90" s="35" t="inlineStr"/>
      <c r="F90" s="35" t="inlineStr">
        <is>
          <t>Client-provided FTE rate</t>
        </is>
      </c>
    </row>
    <row r="91">
      <c r="B91" t="inlineStr">
        <is>
          <t xml:space="preserve">    Backbase Impact</t>
        </is>
      </c>
      <c r="C91" s="6" t="n">
        <v>0.44</v>
      </c>
      <c r="D91" t="inlineStr">
        <is>
          <t>MEDIUM</t>
        </is>
      </c>
      <c r="E91" s="35" t="inlineStr"/>
      <c r="F91" s="35" t="inlineStr">
        <is>
          <t>P2/P3 — Dual-dimension: VDR 30% (mixed tasks per agent definition) + TRR 20% on remaining. Effective: 0.30 + 0.70×0.20 = 0.44. Retail benchmarks show 20-60% call deflection; 30% is conservative for investing self-service. Capability: Digital Invest self-service + AI &amp; Agentic chatbot.</t>
        </is>
      </c>
    </row>
    <row r="92">
      <c r="B92" t="inlineStr">
        <is>
          <t xml:space="preserve">    Baseline Annual</t>
        </is>
      </c>
      <c r="C92" s="34">
        <f>C87 * C88 * C89 * C90</f>
        <v/>
      </c>
    </row>
    <row r="93">
      <c r="B93" t="inlineStr">
        <is>
          <t xml:space="preserve">    Annual Benefit (Steady State)</t>
        </is>
      </c>
      <c r="C93" s="46">
        <f>C92*C91</f>
        <v/>
      </c>
    </row>
    <row r="95">
      <c r="B95" s="45" t="inlineStr">
        <is>
          <t xml:space="preserve">  Email Volume Deflection &amp; Time Reduction</t>
        </is>
      </c>
    </row>
    <row r="96">
      <c r="B96" t="inlineStr">
        <is>
          <t xml:space="preserve">    Annual Emails</t>
        </is>
      </c>
      <c r="C96" s="5" t="n">
        <v>11400</v>
      </c>
      <c r="D96" t="inlineStr">
        <is>
          <t>HIGH</t>
        </is>
      </c>
      <c r="E96" s="35" t="inlineStr"/>
      <c r="F96" s="35" t="inlineStr">
        <is>
          <t>~950/mo × 12 (E92)</t>
        </is>
      </c>
    </row>
    <row r="97">
      <c r="B97" t="inlineStr">
        <is>
          <t xml:space="preserve">    Handling Time Hours</t>
        </is>
      </c>
      <c r="C97" s="6" t="n">
        <v>0.25</v>
      </c>
      <c r="D97" t="inlineStr">
        <is>
          <t>LOW</t>
        </is>
      </c>
      <c r="E97" s="35" t="inlineStr"/>
      <c r="F97" s="35" t="inlineStr">
        <is>
          <t>Estimated 15 min per email</t>
        </is>
      </c>
    </row>
    <row r="98">
      <c r="B98" t="inlineStr">
        <is>
          <t xml:space="preserve">    Fte Rate</t>
        </is>
      </c>
      <c r="C98" s="6" t="n">
        <v>55</v>
      </c>
      <c r="D98" t="inlineStr">
        <is>
          <t>MEDIUM</t>
        </is>
      </c>
      <c r="E98" s="35" t="inlineStr"/>
      <c r="F98" s="35" t="inlineStr">
        <is>
          <t>Client-provided FTE rate</t>
        </is>
      </c>
    </row>
    <row r="99">
      <c r="B99" t="inlineStr">
        <is>
          <t xml:space="preserve">    Backbase Impact</t>
        </is>
      </c>
      <c r="C99" s="6" t="n">
        <v>0.44</v>
      </c>
      <c r="D99" t="inlineStr">
        <is>
          <t>MEDIUM</t>
        </is>
      </c>
      <c r="E99" s="35" t="inlineStr"/>
      <c r="F99" s="35" t="inlineStr">
        <is>
          <t>P2/P3 — Same dual-dimension as chat. VDR 30% + TRR 20%. Capability: Digital Invest self-service reduces email inquiries for routine requests.</t>
        </is>
      </c>
    </row>
    <row r="100">
      <c r="B100" t="inlineStr">
        <is>
          <t xml:space="preserve">    Baseline Annual</t>
        </is>
      </c>
      <c r="C100" s="34">
        <f>C96 * C97 * C98</f>
        <v/>
      </c>
    </row>
    <row r="101">
      <c r="B101" t="inlineStr">
        <is>
          <t xml:space="preserve">    Annual Benefit (Steady State)</t>
        </is>
      </c>
      <c r="C101" s="46">
        <f>C100*C99</f>
        <v/>
      </c>
    </row>
    <row r="103">
      <c r="B103" s="45" t="inlineStr">
        <is>
          <t xml:space="preserve">  Document Rejection Rework Reduction</t>
        </is>
      </c>
    </row>
    <row r="104">
      <c r="B104" t="inlineStr">
        <is>
          <t xml:space="preserve">    Annual Submissions</t>
        </is>
      </c>
      <c r="C104" s="6" t="n">
        <v>2000</v>
      </c>
      <c r="D104" t="inlineStr">
        <is>
          <t>LOW</t>
        </is>
      </c>
      <c r="E104" s="35" t="inlineStr"/>
      <c r="F104" s="35" t="inlineStr">
        <is>
          <t>Estimated annual document submissions</t>
        </is>
      </c>
    </row>
    <row r="105">
      <c r="B105" t="inlineStr">
        <is>
          <t xml:space="preserve">    Rejection Rate</t>
        </is>
      </c>
      <c r="C105" s="5" t="n">
        <v>0.5</v>
      </c>
      <c r="D105" t="inlineStr">
        <is>
          <t>HIGH</t>
        </is>
      </c>
      <c r="E105" s="35" t="inlineStr"/>
      <c r="F105" s="35" t="inlineStr">
        <is>
          <t>50% document rejection rate (E93)</t>
        </is>
      </c>
    </row>
    <row r="106">
      <c r="B106" t="inlineStr">
        <is>
          <t xml:space="preserve">    Rework Time Hours</t>
        </is>
      </c>
      <c r="C106" s="6" t="n">
        <v>0.5</v>
      </c>
      <c r="D106" t="inlineStr">
        <is>
          <t>LOW</t>
        </is>
      </c>
      <c r="E106" s="35" t="inlineStr"/>
      <c r="F106" s="35" t="inlineStr">
        <is>
          <t>Estimated 30 min per rework cycle</t>
        </is>
      </c>
    </row>
    <row r="107">
      <c r="B107" t="inlineStr">
        <is>
          <t xml:space="preserve">    Fte Rate</t>
        </is>
      </c>
      <c r="C107" s="6" t="n">
        <v>55</v>
      </c>
      <c r="D107" t="inlineStr">
        <is>
          <t>MEDIUM</t>
        </is>
      </c>
      <c r="E107" s="35" t="inlineStr"/>
      <c r="F107" s="35" t="inlineStr">
        <is>
          <t>Client-provided FTE rate</t>
        </is>
      </c>
    </row>
    <row r="108">
      <c r="B108" t="inlineStr">
        <is>
          <t xml:space="preserve">    Backbase Impact</t>
        </is>
      </c>
      <c r="C108" s="6" t="n">
        <v>0.5</v>
      </c>
      <c r="D108" t="inlineStr">
        <is>
          <t>LOW</t>
        </is>
      </c>
      <c r="E108" s="35" t="inlineStr"/>
      <c r="F108" s="35" t="inlineStr">
        <is>
          <t>P3 — 50% reduction in rejection rate (50% to 25%) via OCR + guided upload validation. Digital Assist document validation capability. Reasoning: OCR + real-time validation catches common errors before submission.</t>
        </is>
      </c>
    </row>
    <row r="109">
      <c r="B109" t="inlineStr">
        <is>
          <t xml:space="preserve">    Baseline Annual</t>
        </is>
      </c>
      <c r="C109" s="34">
        <f>C104 * C105 * C106 * C107</f>
        <v/>
      </c>
    </row>
    <row r="110">
      <c r="B110" t="inlineStr">
        <is>
          <t xml:space="preserve">    Annual Benefit (Steady State)</t>
        </is>
      </c>
      <c r="C110" s="46">
        <f>C109*C108</f>
        <v/>
      </c>
    </row>
    <row r="112">
      <c r="B112" s="45" t="inlineStr">
        <is>
          <t xml:space="preserve">  IRA Withdrawal Process Automation</t>
        </is>
      </c>
    </row>
    <row r="113">
      <c r="B113" t="inlineStr">
        <is>
          <t xml:space="preserve">    Annual Ira Cases</t>
        </is>
      </c>
      <c r="C113" s="6" t="n">
        <v>2400</v>
      </c>
      <c r="D113" t="inlineStr">
        <is>
          <t>LOW</t>
        </is>
      </c>
      <c r="E113" s="35" t="inlineStr"/>
      <c r="F113" s="35" t="inlineStr">
        <is>
          <t>Estimated 200/mo. IRA withdrawals are top request type (E96, E102).</t>
        </is>
      </c>
    </row>
    <row r="114">
      <c r="B114" t="inlineStr">
        <is>
          <t xml:space="preserve">    Processing Time Hours</t>
        </is>
      </c>
      <c r="C114" s="6" t="n">
        <v>2</v>
      </c>
      <c r="D114" t="inlineStr">
        <is>
          <t>LOW</t>
        </is>
      </c>
      <c r="E114" s="35" t="inlineStr"/>
      <c r="F114" s="35" t="inlineStr">
        <is>
          <t>Estimated: multi-step process across multiple teams (E96). Form fill + liquidation + settlement wait + DriveWealth ticket.</t>
        </is>
      </c>
    </row>
    <row r="115">
      <c r="B115" t="inlineStr">
        <is>
          <t xml:space="preserve">    Fte Rate</t>
        </is>
      </c>
      <c r="C115" s="6" t="n">
        <v>55</v>
      </c>
      <c r="D115" t="inlineStr">
        <is>
          <t>MEDIUM</t>
        </is>
      </c>
      <c r="E115" s="35" t="inlineStr"/>
      <c r="F115" s="35" t="inlineStr">
        <is>
          <t>Client-provided FTE rate</t>
        </is>
      </c>
    </row>
    <row r="116">
      <c r="B116" t="inlineStr">
        <is>
          <t xml:space="preserve">    Backbase Impact</t>
        </is>
      </c>
      <c r="C116" s="6" t="n">
        <v>0.6</v>
      </c>
      <c r="D116" t="inlineStr">
        <is>
          <t>LOW</t>
        </is>
      </c>
      <c r="E116" s="35" t="inlineStr"/>
      <c r="F116" s="35" t="inlineStr">
        <is>
          <t>P3 — 60% time reduction via Flow Foundation STP automation. Multi-day process to same-day for standard cases. Exception-only routing replaces full-manual. Reasoning: IRA standard withdrawals are rules-based and highly automatable. Complex cases still require human review.</t>
        </is>
      </c>
    </row>
    <row r="117">
      <c r="B117" t="inlineStr">
        <is>
          <t xml:space="preserve">    Baseline Annual</t>
        </is>
      </c>
      <c r="C117" s="34">
        <f>C113 * C114 * C115</f>
        <v/>
      </c>
    </row>
    <row r="118">
      <c r="B118" t="inlineStr">
        <is>
          <t xml:space="preserve">    Annual Benefit (Steady State)</t>
        </is>
      </c>
      <c r="C118" s="46">
        <f>C117*C116</f>
        <v/>
      </c>
    </row>
    <row r="121">
      <c r="B121" s="29" t="inlineStr">
        <is>
          <t>Advisor Referral Pipeline Acceleration</t>
        </is>
      </c>
    </row>
    <row r="122">
      <c r="B122" s="45" t="inlineStr">
        <is>
          <t xml:space="preserve">  Incremental FA Revenue from Accelerated Referral Pipeline</t>
        </is>
      </c>
    </row>
    <row r="123">
      <c r="B123" t="inlineStr">
        <is>
          <t xml:space="preserve">    Addressable Referral Revenue</t>
        </is>
      </c>
      <c r="C123" s="6" t="n">
        <v>1650000</v>
      </c>
      <c r="D123" t="inlineStr">
        <is>
          <t>LOW</t>
        </is>
      </c>
      <c r="E123" s="35" t="inlineStr"/>
      <c r="F123" s="35" t="inlineStr">
        <is>
          <t>Prior NFIS engagement reference: $1.65M steady-state for Advisor Referral Pipeline lever (roi_levers.md NFIS reference data)</t>
        </is>
      </c>
    </row>
    <row r="124">
      <c r="B124" t="inlineStr">
        <is>
          <t xml:space="preserve">    Backbase Impact</t>
        </is>
      </c>
      <c r="C124" s="6" t="n">
        <v>0.485</v>
      </c>
      <c r="D124" t="inlineStr">
        <is>
          <t>LOW</t>
        </is>
      </c>
      <c r="E124" s="35" t="inlineStr"/>
      <c r="F124" s="35" t="inlineStr">
        <is>
          <t>P3 — Conservative 50% haircut applied to prior engagement figure. Reasoning: prior engagement had different scope/timing; 50% discount accounts for uncertainty. Capability: Digital Assist real-time lead routing + Digital Engage member acknowledgment.</t>
        </is>
      </c>
    </row>
    <row r="125">
      <c r="B125" t="inlineStr">
        <is>
          <t xml:space="preserve">    Baseline Annual</t>
        </is>
      </c>
      <c r="C125" s="34">
        <f>C123</f>
        <v/>
      </c>
    </row>
    <row r="126">
      <c r="B126" t="inlineStr">
        <is>
          <t xml:space="preserve">    Annual Benefit (Steady State)</t>
        </is>
      </c>
      <c r="C126" s="46">
        <f>C125*C124</f>
        <v/>
      </c>
    </row>
    <row r="129">
      <c r="B129" s="29" t="inlineStr">
        <is>
          <t>Member Onboarding Cost Reduction</t>
        </is>
      </c>
    </row>
    <row r="130">
      <c r="B130" s="45" t="inlineStr">
        <is>
          <t xml:space="preserve">  Per-Account Processing Cost Reduction via Digital STP</t>
        </is>
      </c>
    </row>
    <row r="131">
      <c r="B131" t="inlineStr">
        <is>
          <t xml:space="preserve">    Annual New Accounts</t>
        </is>
      </c>
      <c r="C131" s="6" t="n">
        <v>40000</v>
      </c>
      <c r="D131" t="inlineStr">
        <is>
          <t>MEDIUM</t>
        </is>
      </c>
      <c r="E131" s="35" t="inlineStr"/>
      <c r="F131" s="35" t="inlineStr">
        <is>
          <t>Estimated: growth trajectory to 800K (E1)</t>
        </is>
      </c>
    </row>
    <row r="132">
      <c r="B132" t="inlineStr">
        <is>
          <t xml:space="preserve">    Addressable Cost Per Account</t>
        </is>
      </c>
      <c r="C132" s="6" t="n">
        <v>50</v>
      </c>
      <c r="D132" t="inlineStr">
        <is>
          <t>LOW</t>
        </is>
      </c>
      <c r="E132" s="35" t="inlineStr"/>
      <c r="F132" s="35" t="inlineStr">
        <is>
          <t>Estimated: manual components of current digital onboarding (nudge coordination, beneficiary data, back-office processing). Conservative vs roi_levers.md $250-500 range because NFIS already has digital onboarding via Fusion IQ.</t>
        </is>
      </c>
    </row>
    <row r="133">
      <c r="B133" t="inlineStr">
        <is>
          <t xml:space="preserve">    Backbase Impact</t>
        </is>
      </c>
      <c r="C133" s="7" t="n">
        <v>0.3</v>
      </c>
      <c r="D133" t="inlineStr">
        <is>
          <t>LOW</t>
        </is>
      </c>
      <c r="E133" s="35" t="inlineStr"/>
      <c r="F133" s="35" t="inlineStr">
        <is>
          <t>P3 — 30% efficiency gain on addressable manual processing. Reasoning: Fusion IQ already handles core onboarding; Backbase improvements target the manual gaps (E67 funding integration, E85 nudge automation, E90 beneficiary pre-population). Capability: Digital Onboarding STP + Digital Engage automated nudges.</t>
        </is>
      </c>
    </row>
    <row r="134">
      <c r="B134" t="inlineStr">
        <is>
          <t xml:space="preserve">    Baseline Annual</t>
        </is>
      </c>
      <c r="C134" s="34">
        <f>C131 * C132</f>
        <v/>
      </c>
    </row>
    <row r="135">
      <c r="B135" t="inlineStr">
        <is>
          <t xml:space="preserve">    Annual Benefit (Steady State)</t>
        </is>
      </c>
      <c r="C135" s="46">
        <f>C134*C133</f>
        <v/>
      </c>
    </row>
    <row r="139">
      <c r="B139" s="13" t="inlineStr">
        <is>
          <t>ACTIVE BACKBASE IMPACTS (auto-selected from scenario)</t>
        </is>
      </c>
    </row>
    <row r="142">
      <c r="B142" s="13" t="inlineStr">
        <is>
          <t>INVESTMENT</t>
        </is>
      </c>
    </row>
    <row r="143">
      <c r="B143" s="3" t="inlineStr">
        <is>
          <t>License</t>
        </is>
      </c>
    </row>
    <row r="144">
      <c r="B144" t="inlineStr">
        <is>
          <t xml:space="preserve">  Year 1</t>
        </is>
      </c>
      <c r="C144" s="47" t="n">
        <v>1200000</v>
      </c>
    </row>
    <row r="145">
      <c r="B145" t="inlineStr">
        <is>
          <t xml:space="preserve">  Year 2</t>
        </is>
      </c>
      <c r="C145" s="47" t="n">
        <v>1200000</v>
      </c>
    </row>
    <row r="146">
      <c r="B146" t="inlineStr">
        <is>
          <t xml:space="preserve">  Year 3</t>
        </is>
      </c>
      <c r="C146" s="47" t="n">
        <v>1200000</v>
      </c>
    </row>
    <row r="147">
      <c r="B147" t="inlineStr">
        <is>
          <t xml:space="preserve">  Year 4</t>
        </is>
      </c>
      <c r="C147" s="47" t="n">
        <v>1200000</v>
      </c>
    </row>
    <row r="148">
      <c r="B148" t="inlineStr">
        <is>
          <t xml:space="preserve">  Year 5</t>
        </is>
      </c>
      <c r="C148" s="47" t="n">
        <v>1200000</v>
      </c>
    </row>
    <row r="150">
      <c r="B150" s="3" t="inlineStr">
        <is>
          <t>Implementation</t>
        </is>
      </c>
    </row>
    <row r="151">
      <c r="B151" t="inlineStr">
        <is>
          <t xml:space="preserve">  Year 1</t>
        </is>
      </c>
      <c r="C151" s="47" t="n">
        <v>1800000</v>
      </c>
    </row>
    <row r="152">
      <c r="B152" t="inlineStr">
        <is>
          <t xml:space="preserve">  Year 2</t>
        </is>
      </c>
      <c r="C152" s="47" t="n">
        <v>400000</v>
      </c>
    </row>
    <row r="153">
      <c r="B153" t="inlineStr">
        <is>
          <t xml:space="preserve">  Year 3</t>
        </is>
      </c>
      <c r="C153" s="47" t="n">
        <v>200000</v>
      </c>
    </row>
    <row r="154">
      <c r="B154" t="inlineStr">
        <is>
          <t xml:space="preserve">  Year 4</t>
        </is>
      </c>
      <c r="C154" s="47" t="n">
        <v>200000</v>
      </c>
    </row>
    <row r="155">
      <c r="B155" t="inlineStr">
        <is>
          <t xml:space="preserve">  Year 5</t>
        </is>
      </c>
      <c r="C155" s="47" t="n">
        <v>200000</v>
      </c>
    </row>
    <row r="158">
      <c r="B158" s="13" t="inlineStr">
        <is>
          <t>ACTIVE CURVES (auto-selected from scenario)</t>
        </is>
      </c>
    </row>
    <row r="159">
      <c r="B159" s="31" t="inlineStr">
        <is>
          <t>These cells use INDEX formulas — they update when you change the scenario on the Cashflows sheet.</t>
        </is>
      </c>
    </row>
    <row r="160">
      <c r="B160" s="3" t="inlineStr">
        <is>
          <t>Default — Implementation</t>
        </is>
      </c>
    </row>
    <row r="161">
      <c r="B161" t="inlineStr">
        <is>
          <t xml:space="preserve">  Year 1</t>
        </is>
      </c>
      <c r="C161" s="48">
        <f>INDEX('Scenario Data'!$C$9:$E$9,1,'Cashflows'!$C$5)</f>
        <v/>
      </c>
    </row>
    <row r="162">
      <c r="B162" t="inlineStr">
        <is>
          <t xml:space="preserve">  Year 2</t>
        </is>
      </c>
      <c r="C162" s="48">
        <f>INDEX('Scenario Data'!$C$10:$E$10,1,'Cashflows'!$C$5)</f>
        <v/>
      </c>
    </row>
    <row r="163">
      <c r="B163" t="inlineStr">
        <is>
          <t xml:space="preserve">  Year 3</t>
        </is>
      </c>
      <c r="C163" s="48">
        <f>INDEX('Scenario Data'!$C$11:$E$11,1,'Cashflows'!$C$5)</f>
        <v/>
      </c>
    </row>
    <row r="164">
      <c r="B164" t="inlineStr">
        <is>
          <t xml:space="preserve">  Year 4</t>
        </is>
      </c>
      <c r="C164" s="48">
        <f>INDEX('Scenario Data'!$C$12:$E$12,1,'Cashflows'!$C$5)</f>
        <v/>
      </c>
    </row>
    <row r="165">
      <c r="B165" t="inlineStr">
        <is>
          <t xml:space="preserve">  Year 5</t>
        </is>
      </c>
      <c r="C165" s="48">
        <f>INDEX('Scenario Data'!$C$13:$E$13,1,'Cashflows'!$C$5)</f>
        <v/>
      </c>
    </row>
    <row r="166">
      <c r="B166" s="3" t="inlineStr">
        <is>
          <t>Default — Effectiveness</t>
        </is>
      </c>
    </row>
    <row r="167">
      <c r="B167" t="inlineStr">
        <is>
          <t xml:space="preserve">  Year 1</t>
        </is>
      </c>
      <c r="C167" s="48">
        <f>INDEX('Scenario Data'!$C$17:$E$17,1,'Cashflows'!$C$5)</f>
        <v/>
      </c>
    </row>
    <row r="168">
      <c r="B168" t="inlineStr">
        <is>
          <t xml:space="preserve">  Year 2</t>
        </is>
      </c>
      <c r="C168" s="48">
        <f>INDEX('Scenario Data'!$C$18:$E$18,1,'Cashflows'!$C$5)</f>
        <v/>
      </c>
    </row>
    <row r="169">
      <c r="B169" t="inlineStr">
        <is>
          <t xml:space="preserve">  Year 3</t>
        </is>
      </c>
      <c r="C169" s="48">
        <f>INDEX('Scenario Data'!$C$19:$E$19,1,'Cashflows'!$C$5)</f>
        <v/>
      </c>
    </row>
    <row r="170">
      <c r="B170" t="inlineStr">
        <is>
          <t xml:space="preserve">  Year 4</t>
        </is>
      </c>
      <c r="C170" s="48">
        <f>INDEX('Scenario Data'!$C$20:$E$20,1,'Cashflows'!$C$5)</f>
        <v/>
      </c>
    </row>
    <row r="171">
      <c r="B171" t="inlineStr">
        <is>
          <t xml:space="preserve">  Year 5</t>
        </is>
      </c>
      <c r="C171" s="48">
        <f>INDEX('Scenario Data'!$C$21:$E$21,1,'Cashflows'!$C$5)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Default</t>
        </is>
      </c>
    </row>
    <row r="9">
      <c r="B9" t="inlineStr">
        <is>
          <t xml:space="preserve">  Year 1</t>
        </is>
      </c>
      <c r="C9" s="49" t="n">
        <v>0.25</v>
      </c>
      <c r="D9" s="49" t="n">
        <v>0.3</v>
      </c>
      <c r="E9" s="49" t="n">
        <v>0.35</v>
      </c>
    </row>
    <row r="10">
      <c r="B10" t="inlineStr">
        <is>
          <t xml:space="preserve">  Year 2</t>
        </is>
      </c>
      <c r="C10" s="49" t="n">
        <v>0.65</v>
      </c>
      <c r="D10" s="49" t="n">
        <v>0.75</v>
      </c>
      <c r="E10" s="49" t="n">
        <v>0.8</v>
      </c>
    </row>
    <row r="11">
      <c r="B11" t="inlineStr">
        <is>
          <t xml:space="preserve">  Year 3</t>
        </is>
      </c>
      <c r="C11" s="49" t="n">
        <v>1</v>
      </c>
      <c r="D11" s="49" t="n">
        <v>1</v>
      </c>
      <c r="E11" s="49" t="n">
        <v>1</v>
      </c>
    </row>
    <row r="12">
      <c r="B12" t="inlineStr">
        <is>
          <t xml:space="preserve">  Year 4</t>
        </is>
      </c>
      <c r="C12" s="49" t="n">
        <v>1</v>
      </c>
      <c r="D12" s="49" t="n">
        <v>1</v>
      </c>
      <c r="E12" s="49" t="n">
        <v>1</v>
      </c>
    </row>
    <row r="13">
      <c r="B13" t="inlineStr">
        <is>
          <t xml:space="preserve">  Year 5</t>
        </is>
      </c>
      <c r="C13" s="49" t="n">
        <v>1</v>
      </c>
      <c r="D13" s="49" t="n">
        <v>1</v>
      </c>
      <c r="E13" s="49" t="n">
        <v>1</v>
      </c>
    </row>
    <row r="15">
      <c r="B15" s="13" t="inlineStr">
        <is>
          <t>EFFECTIVENESS CURVES</t>
        </is>
      </c>
    </row>
    <row r="16">
      <c r="B16" s="3" t="inlineStr">
        <is>
          <t>Default</t>
        </is>
      </c>
    </row>
    <row r="17">
      <c r="B17" t="inlineStr">
        <is>
          <t xml:space="preserve">  Year 1</t>
        </is>
      </c>
      <c r="C17" s="49" t="n">
        <v>0.2</v>
      </c>
      <c r="D17" s="49" t="n">
        <v>0.25</v>
      </c>
      <c r="E17" s="49" t="n">
        <v>0.3</v>
      </c>
    </row>
    <row r="18">
      <c r="B18" t="inlineStr">
        <is>
          <t xml:space="preserve">  Year 2</t>
        </is>
      </c>
      <c r="C18" s="49" t="n">
        <v>0.4</v>
      </c>
      <c r="D18" s="49" t="n">
        <v>0.5</v>
      </c>
      <c r="E18" s="49" t="n">
        <v>0.55</v>
      </c>
    </row>
    <row r="19">
      <c r="B19" t="inlineStr">
        <is>
          <t xml:space="preserve">  Year 3</t>
        </is>
      </c>
      <c r="C19" s="49" t="n">
        <v>0.6</v>
      </c>
      <c r="D19" s="49" t="n">
        <v>0.7</v>
      </c>
      <c r="E19" s="49" t="n">
        <v>0.8</v>
      </c>
    </row>
    <row r="20">
      <c r="B20" t="inlineStr">
        <is>
          <t xml:space="preserve">  Year 4</t>
        </is>
      </c>
      <c r="C20" s="49" t="n">
        <v>0.75</v>
      </c>
      <c r="D20" s="49" t="n">
        <v>0.85</v>
      </c>
      <c r="E20" s="49" t="n">
        <v>0.9</v>
      </c>
    </row>
    <row r="21">
      <c r="B21" t="inlineStr">
        <is>
          <t xml:space="preserve">  Year 5</t>
        </is>
      </c>
      <c r="C21" s="49" t="n">
        <v>0.85</v>
      </c>
      <c r="D21" s="49" t="n">
        <v>0.95</v>
      </c>
      <c r="E21" s="49" t="n">
        <v>0.95</v>
      </c>
    </row>
    <row r="23">
      <c r="B23" s="13" t="inlineStr">
        <is>
          <t>BACKBASE IMPACTS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5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Navy Federal Investment Services (NFIS)</t>
        </is>
      </c>
    </row>
    <row r="5">
      <c r="B5" s="3" t="inlineStr">
        <is>
          <t>Country</t>
        </is>
      </c>
      <c r="C5" t="inlineStr"/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N/A</t>
        </is>
      </c>
    </row>
    <row r="8">
      <c r="B8" s="3" t="inlineStr">
        <is>
          <t>Report Year</t>
        </is>
      </c>
      <c r="C8" t="inlineStr"/>
    </row>
    <row r="9">
      <c r="B9" s="3" t="inlineStr">
        <is>
          <t>Data Sources</t>
        </is>
      </c>
      <c r="C9" t="inlineStr"/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  <row r="15">
      <c r="B15" t="inlineStr">
        <is>
          <t>Total NFCU Members</t>
        </is>
      </c>
      <c r="C15" s="50" t="n">
        <v>14000000</v>
      </c>
      <c r="D15" t="inlineStr">
        <is>
          <t>HIGH</t>
        </is>
      </c>
      <c r="E15" s="35" t="inlineStr">
        <is>
          <t>Discovery (E1)</t>
        </is>
      </c>
    </row>
    <row r="16">
      <c r="B16" t="inlineStr">
        <is>
          <t>DI Members</t>
        </is>
      </c>
      <c r="C16" s="50" t="n">
        <v>115000</v>
      </c>
      <c r="D16" t="inlineStr">
        <is>
          <t>HIGH</t>
        </is>
      </c>
      <c r="E16" s="35" t="inlineStr">
        <is>
          <t>Discovery (E1)</t>
        </is>
      </c>
    </row>
    <row r="17">
      <c r="B17" t="inlineStr">
        <is>
          <t>DI Penetration</t>
        </is>
      </c>
      <c r="C17" s="5" t="inlineStr">
        <is>
          <t>0.82%</t>
        </is>
      </c>
      <c r="D17" t="inlineStr">
        <is>
          <t>HIGH</t>
        </is>
      </c>
      <c r="E17" s="35" t="inlineStr">
        <is>
          <t>Derived: 115K/14M</t>
        </is>
      </c>
    </row>
    <row r="18">
      <c r="B18" t="inlineStr">
        <is>
          <t>Total DI AUM</t>
        </is>
      </c>
      <c r="C18" s="5" t="inlineStr">
        <is>
          <t>$500M</t>
        </is>
      </c>
      <c r="D18" t="inlineStr">
        <is>
          <t>HIGH</t>
        </is>
      </c>
      <c r="E18" s="35" t="inlineStr">
        <is>
          <t>Discovery (E3)</t>
        </is>
      </c>
    </row>
    <row r="19">
      <c r="B19" t="inlineStr">
        <is>
          <t>Total NFIS AUA (incl FA)</t>
        </is>
      </c>
      <c r="C19" s="5" t="inlineStr">
        <is>
          <t>$7.4B</t>
        </is>
      </c>
      <c r="D19" t="inlineStr">
        <is>
          <t>HIGH</t>
        </is>
      </c>
      <c r="E19" s="35" t="inlineStr">
        <is>
          <t>Discovery (E3)</t>
        </is>
      </c>
    </row>
    <row r="20">
      <c r="B20" t="inlineStr">
        <is>
          <t>Avg DI AUM</t>
        </is>
      </c>
      <c r="C20" s="7" t="inlineStr">
        <is>
          <t>$4,350</t>
        </is>
      </c>
      <c r="D20" t="inlineStr">
        <is>
          <t>MEDIUM</t>
        </is>
      </c>
      <c r="E20" s="35" t="inlineStr">
        <is>
          <t>Derived: $500M/115K</t>
        </is>
      </c>
    </row>
    <row r="21">
      <c r="B21" t="inlineStr">
        <is>
          <t>Robo Fee Rate</t>
        </is>
      </c>
      <c r="C21" s="7" t="inlineStr">
        <is>
          <t>0.275%</t>
        </is>
      </c>
      <c r="D21" t="inlineStr">
        <is>
          <t>MEDIUM</t>
        </is>
      </c>
      <c r="E21" s="35" t="inlineStr">
        <is>
          <t>Discovery context</t>
        </is>
      </c>
    </row>
    <row r="22">
      <c r="B22" t="inlineStr">
        <is>
          <t>SD Monthly Fee</t>
        </is>
      </c>
      <c r="C22" s="7" t="inlineStr">
        <is>
          <t>$3.50/mo</t>
        </is>
      </c>
      <c r="D22" t="inlineStr">
        <is>
          <t>MEDIUM</t>
        </is>
      </c>
      <c r="E22" s="35" t="inlineStr">
        <is>
          <t>Discovery (E18)</t>
        </is>
      </c>
    </row>
    <row r="23">
      <c r="B23" t="inlineStr">
        <is>
          <t>Robo:SD Preference</t>
        </is>
      </c>
      <c r="C23" s="5" t="inlineStr">
        <is>
          <t>2:1</t>
        </is>
      </c>
      <c r="D23" t="inlineStr">
        <is>
          <t>HIGH</t>
        </is>
      </c>
      <c r="E23" s="35" t="inlineStr">
        <is>
          <t>Discovery (E6)</t>
        </is>
      </c>
    </row>
    <row r="24">
      <c r="B24" t="inlineStr">
        <is>
          <t>Member Satisfaction</t>
        </is>
      </c>
      <c r="C24" s="5" t="inlineStr">
        <is>
          <t>58%</t>
        </is>
      </c>
      <c r="D24" t="inlineStr">
        <is>
          <t>HIGH</t>
        </is>
      </c>
      <c r="E24" s="35" t="inlineStr">
        <is>
          <t>Discovery (E2)</t>
        </is>
      </c>
    </row>
    <row r="25">
      <c r="B25" t="inlineStr">
        <is>
          <t>Funding Rate</t>
        </is>
      </c>
      <c r="C25" s="5" t="inlineStr">
        <is>
          <t>~50%</t>
        </is>
      </c>
      <c r="D25" t="inlineStr">
        <is>
          <t>HIGH</t>
        </is>
      </c>
      <c r="E25" s="35" t="inlineStr">
        <is>
          <t>Discovery (E5, E21)</t>
        </is>
      </c>
    </row>
    <row r="26">
      <c r="B26" t="inlineStr">
        <is>
          <t>Recurring Deposit Adoption</t>
        </is>
      </c>
      <c r="C26" s="5" t="inlineStr">
        <is>
          <t>18%</t>
        </is>
      </c>
      <c r="D26" t="inlineStr">
        <is>
          <t>HIGH</t>
        </is>
      </c>
      <c r="E26" s="35" t="inlineStr">
        <is>
          <t>Discovery (E75)</t>
        </is>
      </c>
    </row>
    <row r="27">
      <c r="B27" t="inlineStr">
        <is>
          <t>Daily Chat Volume</t>
        </is>
      </c>
      <c r="C27" s="5" t="n">
        <v>130</v>
      </c>
      <c r="D27" t="inlineStr">
        <is>
          <t>HIGH</t>
        </is>
      </c>
      <c r="E27" s="35" t="inlineStr">
        <is>
          <t>Discovery (E38, E91)</t>
        </is>
      </c>
    </row>
    <row r="28">
      <c r="B28" t="inlineStr">
        <is>
          <t>Chat AHT</t>
        </is>
      </c>
      <c r="C28" s="5" t="inlineStr">
        <is>
          <t>12m41s</t>
        </is>
      </c>
      <c r="D28" t="inlineStr">
        <is>
          <t>HIGH</t>
        </is>
      </c>
      <c r="E28" s="35" t="inlineStr">
        <is>
          <t>Discovery (E91)</t>
        </is>
      </c>
    </row>
    <row r="29">
      <c r="B29" t="inlineStr">
        <is>
          <t>Monthly Email Volume</t>
        </is>
      </c>
      <c r="C29" s="5" t="inlineStr">
        <is>
          <t>900-1000</t>
        </is>
      </c>
      <c r="D29" t="inlineStr">
        <is>
          <t>HIGH</t>
        </is>
      </c>
      <c r="E29" s="35" t="inlineStr">
        <is>
          <t>Discovery (E92)</t>
        </is>
      </c>
    </row>
    <row r="30">
      <c r="B30" t="inlineStr">
        <is>
          <t>Doc Rejection Rate</t>
        </is>
      </c>
      <c r="C30" s="5" t="inlineStr">
        <is>
          <t>50%</t>
        </is>
      </c>
      <c r="D30" t="inlineStr">
        <is>
          <t>HIGH</t>
        </is>
      </c>
      <c r="E30" s="35" t="inlineStr">
        <is>
          <t>Discovery (E93)</t>
        </is>
      </c>
    </row>
    <row r="31">
      <c r="B31" t="inlineStr">
        <is>
          <t>DI Growth Target</t>
        </is>
      </c>
      <c r="C31" s="5" t="inlineStr">
        <is>
          <t>800K by 2030</t>
        </is>
      </c>
      <c r="D31" t="inlineStr">
        <is>
          <t>HIGH</t>
        </is>
      </c>
      <c r="E31" s="35" t="inlineStr">
        <is>
          <t>Discovery (E1)</t>
        </is>
      </c>
    </row>
    <row r="32">
      <c r="B32" t="inlineStr">
        <is>
          <t>Satisfaction Target</t>
        </is>
      </c>
      <c r="C32" s="5" t="inlineStr">
        <is>
          <t>75%</t>
        </is>
      </c>
      <c r="D32" t="inlineStr">
        <is>
          <t>HIGH</t>
        </is>
      </c>
      <c r="E32" s="35" t="inlineStr">
        <is>
          <t>Discovery (E2)</t>
        </is>
      </c>
    </row>
    <row r="34">
      <c r="B34" s="13" t="inlineStr">
        <is>
          <t>ADDITIONAL CONTEXT (Annual Report / Market Research)</t>
        </is>
      </c>
    </row>
    <row r="35">
      <c r="B35" s="16" t="inlineStr">
        <is>
          <t>Metric</t>
        </is>
      </c>
      <c r="C35" s="16" t="inlineStr">
        <is>
          <t>Value</t>
        </is>
      </c>
      <c r="D35" s="16" t="inlineStr">
        <is>
          <t>Confidence</t>
        </is>
      </c>
      <c r="E35" s="16" t="inlineStr">
        <is>
          <t>Source</t>
        </is>
      </c>
    </row>
    <row r="36">
      <c r="B36" t="inlineStr">
        <is>
          <t>Total NFIS AUA</t>
        </is>
      </c>
      <c r="C36" s="5" t="inlineStr">
        <is>
          <t>$7.4B</t>
        </is>
      </c>
      <c r="D36" t="inlineStr">
        <is>
          <t>HIGH</t>
        </is>
      </c>
      <c r="E36" s="35" t="inlineStr">
        <is>
          <t>Discovery (E3)</t>
        </is>
      </c>
    </row>
    <row r="37">
      <c r="B37" t="inlineStr">
        <is>
          <t>FA-Side AUA</t>
        </is>
      </c>
      <c r="C37" s="5" t="inlineStr">
        <is>
          <t>$6.9B</t>
        </is>
      </c>
      <c r="D37" t="inlineStr">
        <is>
          <t>HIGH</t>
        </is>
      </c>
      <c r="E37" s="35" t="inlineStr">
        <is>
          <t>Derived: $7.4B - $500M</t>
        </is>
      </c>
    </row>
    <row r="38">
      <c r="B38" t="inlineStr">
        <is>
          <t>Custodian Migration</t>
        </is>
      </c>
      <c r="C38" s="5" t="inlineStr">
        <is>
          <t>Apex (upcoming)</t>
        </is>
      </c>
      <c r="D38" t="inlineStr">
        <is>
          <t>HIGH</t>
        </is>
      </c>
      <c r="E38" s="35" t="inlineStr">
        <is>
          <t>Discovery (E81)</t>
        </is>
      </c>
    </row>
    <row r="39">
      <c r="B39" t="inlineStr">
        <is>
          <t>Current Platform</t>
        </is>
      </c>
      <c r="C39" s="5" t="inlineStr">
        <is>
          <t>Fusion IQ</t>
        </is>
      </c>
      <c r="D39" t="inlineStr">
        <is>
          <t>HIGH</t>
        </is>
      </c>
      <c r="E39" s="35" t="inlineStr">
        <is>
          <t>Discovery (E89)</t>
        </is>
      </c>
    </row>
    <row r="40">
      <c r="B40" t="inlineStr">
        <is>
          <t>NSF Events</t>
        </is>
      </c>
      <c r="C40" s="5" t="inlineStr">
        <is>
          <t>~300/day</t>
        </is>
      </c>
      <c r="D40" t="inlineStr">
        <is>
          <t>HIGH</t>
        </is>
      </c>
      <c r="E40" s="35" t="inlineStr">
        <is>
          <t>Discovery (E24)</t>
        </is>
      </c>
    </row>
    <row r="41">
      <c r="B41" t="inlineStr">
        <is>
          <t>30-Day Closure Rate</t>
        </is>
      </c>
      <c r="C41" s="5" t="inlineStr">
        <is>
          <t>10%</t>
        </is>
      </c>
      <c r="D41" t="inlineStr">
        <is>
          <t>HIGH</t>
        </is>
      </c>
      <c r="E41" s="35" t="inlineStr">
        <is>
          <t>Discovery (E4)</t>
        </is>
      </c>
    </row>
    <row r="42">
      <c r="B42" t="inlineStr">
        <is>
          <t>Backend Systems</t>
        </is>
      </c>
      <c r="C42" s="5" t="inlineStr">
        <is>
          <t>DriveHub, DriveWell, Outlook (3 systems)</t>
        </is>
      </c>
      <c r="D42" t="inlineStr">
        <is>
          <t>HIGH</t>
        </is>
      </c>
      <c r="E42" s="35" t="inlineStr">
        <is>
          <t>Discovery (E107)</t>
        </is>
      </c>
    </row>
    <row r="44">
      <c r="B44" s="13" t="inlineStr">
        <is>
          <t>DATA GAPS</t>
        </is>
      </c>
    </row>
    <row r="45">
      <c r="B45" s="16" t="inlineStr">
        <is>
          <t>Data Needed</t>
        </is>
      </c>
      <c r="C45" s="16" t="inlineStr">
        <is>
          <t>Priority</t>
        </is>
      </c>
      <c r="D45" s="16" t="inlineStr">
        <is>
          <t>Impact</t>
        </is>
      </c>
      <c r="E45" s="16" t="inlineStr">
        <is>
          <t>Where to Obtain</t>
        </is>
      </c>
    </row>
    <row r="46">
      <c r="B46" t="inlineStr">
        <is>
          <t>Annual Revenue (NFIS)</t>
        </is>
      </c>
      <c r="C46" s="51" t="inlineStr">
        <is>
          <t>HIGH</t>
        </is>
      </c>
      <c r="D46" s="35" t="inlineStr">
        <is>
          <t>Cannot compute revenue % checks</t>
        </is>
      </c>
      <c r="E46" s="35" t="inlineStr">
        <is>
          <t>NFIS Finance</t>
        </is>
      </c>
    </row>
    <row r="47">
      <c r="B47" t="inlineStr">
        <is>
          <t>Operating Costs (NFIS)</t>
        </is>
      </c>
      <c r="C47" s="51" t="inlineStr">
        <is>
          <t>HIGH</t>
        </is>
      </c>
      <c r="D47" s="35" t="inlineStr">
        <is>
          <t>Cannot compute C/I ratio</t>
        </is>
      </c>
      <c r="E47" s="35" t="inlineStr">
        <is>
          <t>NFIS Finance</t>
        </is>
      </c>
    </row>
    <row r="48">
      <c r="B48" t="inlineStr">
        <is>
          <t>Service Team FTE Count</t>
        </is>
      </c>
      <c r="C48" s="51" t="inlineStr">
        <is>
          <t>HIGH</t>
        </is>
      </c>
      <c r="D48" s="35" t="inlineStr">
        <is>
          <t>Servicing lever uses volume-based estimate</t>
        </is>
      </c>
      <c r="E48" s="35" t="inlineStr">
        <is>
          <t>Tyler (Service Manager)</t>
        </is>
      </c>
    </row>
    <row r="49">
      <c r="B49" t="inlineStr">
        <is>
          <t>Annual New DI Account Opens</t>
        </is>
      </c>
      <c r="C49" s="51" t="inlineStr">
        <is>
          <t>HIGH</t>
        </is>
      </c>
      <c r="D49" s="35" t="inlineStr">
        <is>
          <t>L2 and CL5 sizing depends on this</t>
        </is>
      </c>
      <c r="E49" s="35" t="inlineStr">
        <is>
          <t>NFIS Operations</t>
        </is>
      </c>
    </row>
    <row r="50">
      <c r="B50" t="inlineStr">
        <is>
          <t>FA Advisor Headcount</t>
        </is>
      </c>
      <c r="C50" t="inlineStr">
        <is>
          <t>MEDIUM</t>
        </is>
      </c>
      <c r="D50" s="35" t="inlineStr">
        <is>
          <t>CL1 and CL2 sizing</t>
        </is>
      </c>
      <c r="E50" s="35" t="inlineStr">
        <is>
          <t>Patrick Bryan (IA Manager)</t>
        </is>
      </c>
    </row>
    <row r="51">
      <c r="B51" t="inlineStr">
        <is>
          <t>Current Annual DI Attrition Rate</t>
        </is>
      </c>
      <c r="C51" t="inlineStr">
        <is>
          <t>MEDIUM</t>
        </is>
      </c>
      <c r="D51" s="35" t="inlineStr">
        <is>
          <t>L7 retention lever baseline</t>
        </is>
      </c>
      <c r="E51" s="35" t="inlineStr">
        <is>
          <t>NFIS Analytics</t>
        </is>
      </c>
    </row>
    <row r="52">
      <c r="B52" t="inlineStr">
        <is>
          <t>Fusion IQ Annual Contract Cost</t>
        </is>
      </c>
      <c r="C52" t="inlineStr">
        <is>
          <t>MEDIUM</t>
        </is>
      </c>
      <c r="D52" s="35" t="inlineStr">
        <is>
          <t>CL3 vendor rationalization excluded without this</t>
        </is>
      </c>
      <c r="E52" s="35" t="inlineStr">
        <is>
          <t>NFIS IT/Procurement</t>
        </is>
      </c>
    </row>
    <row r="53">
      <c r="B53" t="inlineStr">
        <is>
          <t>Annual ACAT Transfer Volume</t>
        </is>
      </c>
      <c r="C53" t="inlineStr">
        <is>
          <t>LOW</t>
        </is>
      </c>
      <c r="D53" s="35" t="inlineStr">
        <is>
          <t>L5 is small lever regardless</t>
        </is>
      </c>
      <c r="E53" s="35" t="inlineStr">
        <is>
          <t>NFIS Operations</t>
        </is>
      </c>
    </row>
    <row r="54">
      <c r="B54" t="inlineStr">
        <is>
          <t>FA Advisory Fee Rate</t>
        </is>
      </c>
      <c r="C54" t="inlineStr">
        <is>
          <t>MEDIUM</t>
        </is>
      </c>
      <c r="D54" s="35" t="inlineStr">
        <is>
          <t>L4 fee delta calculation</t>
        </is>
      </c>
      <c r="E54" s="35" t="inlineStr">
        <is>
          <t>NFIS Product/Pricing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43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A1</t>
        </is>
      </c>
      <c r="C6" t="inlineStr">
        <is>
          <t>NFCU eligible member base for DI is 14M total members</t>
        </is>
      </c>
      <c r="D6" s="5" t="inlineStr"/>
      <c r="E6" t="inlineStr">
        <is>
          <t>HIGH</t>
        </is>
      </c>
      <c r="F6" s="35" t="inlineStr"/>
      <c r="G6" t="inlineStr"/>
      <c r="H6" s="35" t="inlineStr"/>
    </row>
    <row r="7">
      <c r="B7" t="inlineStr">
        <is>
          <t>A2</t>
        </is>
      </c>
      <c r="C7" t="inlineStr">
        <is>
          <t>CU investing penetration benchmark of 3% (conservative end of 3-5% range)</t>
        </is>
      </c>
      <c r="D7" s="7" t="inlineStr"/>
      <c r="E7" t="inlineStr">
        <is>
          <t>MEDIUM</t>
        </is>
      </c>
      <c r="F7" s="35" t="inlineStr"/>
      <c r="G7" t="inlineStr"/>
      <c r="H7" s="35" t="inlineStr"/>
    </row>
    <row r="8">
      <c r="B8" t="inlineStr">
        <is>
          <t>A3</t>
        </is>
      </c>
      <c r="C8" t="inlineStr">
        <is>
          <t>Average initial AUM for banking cross-sell accounts is $10,000</t>
        </is>
      </c>
      <c r="D8" s="7" t="inlineStr"/>
      <c r="E8" t="inlineStr">
        <is>
          <t>MEDIUM</t>
        </is>
      </c>
      <c r="F8" s="35" t="inlineStr"/>
      <c r="G8" t="inlineStr"/>
      <c r="H8" s="35" t="inlineStr"/>
    </row>
    <row r="9">
      <c r="B9" t="inlineStr">
        <is>
          <t>A4</t>
        </is>
      </c>
      <c r="C9" t="inlineStr">
        <is>
          <t>Annual new DI account opens: 40,000/yr</t>
        </is>
      </c>
      <c r="D9" s="7" t="inlineStr"/>
      <c r="E9" t="inlineStr">
        <is>
          <t>MEDIUM</t>
        </is>
      </c>
      <c r="F9" s="35" t="inlineStr"/>
      <c r="G9" t="inlineStr"/>
      <c r="H9" s="35" t="inlineStr"/>
    </row>
    <row r="10">
      <c r="B10" t="inlineStr">
        <is>
          <t>A5</t>
        </is>
      </c>
      <c r="C10" t="inlineStr">
        <is>
          <t>Average initial funding amount: $5,000</t>
        </is>
      </c>
      <c r="D10" s="6" t="inlineStr"/>
      <c r="E10" t="inlineStr">
        <is>
          <t>LOW</t>
        </is>
      </c>
      <c r="F10" s="35" t="inlineStr"/>
      <c r="G10" t="inlineStr"/>
      <c r="H10" s="35" t="inlineStr"/>
    </row>
    <row r="11">
      <c r="B11" t="inlineStr">
        <is>
          <t>A6</t>
        </is>
      </c>
      <c r="C11" t="inlineStr">
        <is>
          <t>Annual DI attrition rate: 7%</t>
        </is>
      </c>
      <c r="D11" s="6" t="inlineStr"/>
      <c r="E11" t="inlineStr">
        <is>
          <t>LOW</t>
        </is>
      </c>
      <c r="F11" s="35" t="inlineStr"/>
      <c r="G11" t="inlineStr"/>
      <c r="H11" s="35" t="inlineStr"/>
    </row>
    <row r="12">
      <c r="B12" t="inlineStr">
        <is>
          <t>A7</t>
        </is>
      </c>
      <c r="C12" t="inlineStr">
        <is>
          <t>7% of DI members have AUM above FA threshold ($50K+)</t>
        </is>
      </c>
      <c r="D12" s="6" t="inlineStr"/>
      <c r="E12" t="inlineStr">
        <is>
          <t>LOW</t>
        </is>
      </c>
      <c r="F12" s="35" t="inlineStr"/>
      <c r="G12" t="inlineStr"/>
      <c r="H12" s="35" t="inlineStr"/>
    </row>
    <row r="13">
      <c r="B13" t="inlineStr">
        <is>
          <t>A8</t>
        </is>
      </c>
      <c r="C13" t="inlineStr">
        <is>
          <t>FA advisory fee rate: 0.65% (65 bps)</t>
        </is>
      </c>
      <c r="D13" s="6" t="inlineStr"/>
      <c r="E13" t="inlineStr">
        <is>
          <t>LOW</t>
        </is>
      </c>
      <c r="F13" s="35" t="inlineStr"/>
      <c r="G13" t="inlineStr"/>
      <c r="H13" s="35" t="inlineStr"/>
    </row>
    <row r="14">
      <c r="B14" t="inlineStr">
        <is>
          <t>A9</t>
        </is>
      </c>
      <c r="C14" t="inlineStr">
        <is>
          <t>Blended NFIS fee rate across DI + FA: 0.30% (30 bps)</t>
        </is>
      </c>
      <c r="D14" s="6" t="inlineStr"/>
      <c r="E14" t="inlineStr">
        <is>
          <t>LOW</t>
        </is>
      </c>
      <c r="F14" s="35" t="inlineStr"/>
      <c r="G14" t="inlineStr"/>
      <c r="H14" s="35" t="inlineStr"/>
    </row>
    <row r="15">
      <c r="B15" t="inlineStr">
        <is>
          <t>A10</t>
        </is>
      </c>
      <c r="C15" t="inlineStr">
        <is>
          <t>IRA withdrawals: ~200/month (2,400/yr) at 2 hours processing each</t>
        </is>
      </c>
      <c r="D15" s="6" t="inlineStr"/>
      <c r="E15" t="inlineStr">
        <is>
          <t>LOW</t>
        </is>
      </c>
      <c r="F15" s="35" t="inlineStr"/>
      <c r="G15" t="inlineStr"/>
      <c r="H15" s="35" t="inlineStr"/>
    </row>
    <row r="16">
      <c r="B16" t="inlineStr">
        <is>
          <t>A11</t>
        </is>
      </c>
      <c r="C16" t="inlineStr">
        <is>
          <t>Annual document submissions: 2,000</t>
        </is>
      </c>
      <c r="D16" s="6" t="inlineStr"/>
      <c r="E16" t="inlineStr">
        <is>
          <t>LOW</t>
        </is>
      </c>
      <c r="F16" s="35" t="inlineStr"/>
      <c r="G16" t="inlineStr"/>
      <c r="H16" s="35" t="inlineStr"/>
    </row>
    <row r="17">
      <c r="B17" t="inlineStr">
        <is>
          <t>A12</t>
        </is>
      </c>
      <c r="C17" t="inlineStr">
        <is>
          <t>ACAT transfer attempts: 500/year</t>
        </is>
      </c>
      <c r="D17" s="6" t="inlineStr"/>
      <c r="E17" t="inlineStr">
        <is>
          <t>LOW</t>
        </is>
      </c>
      <c r="F17" s="35" t="inlineStr"/>
      <c r="G17" t="inlineStr"/>
      <c r="H17" s="35" t="inlineStr"/>
    </row>
    <row r="18">
      <c r="B18" t="inlineStr">
        <is>
          <t>A13</t>
        </is>
      </c>
      <c r="C18" t="inlineStr">
        <is>
          <t>Prior NFIS engagement advisor referral pipeline figure ($1.65M) is directionally valid</t>
        </is>
      </c>
      <c r="D18" s="6" t="inlineStr"/>
      <c r="E18" t="inlineStr">
        <is>
          <t>LOW</t>
        </is>
      </c>
      <c r="F18" s="35" t="inlineStr"/>
      <c r="G18" t="inlineStr"/>
      <c r="H18" s="35" t="inlineStr"/>
    </row>
    <row r="19">
      <c r="B19" t="inlineStr">
        <is>
          <t>A14</t>
        </is>
      </c>
      <c r="C19" t="inlineStr">
        <is>
          <t>Addressable manual processing cost per onboarding: $50</t>
        </is>
      </c>
      <c r="D19" s="6" t="inlineStr"/>
      <c r="E19" t="inlineStr">
        <is>
          <t>LOW</t>
        </is>
      </c>
      <c r="F19" s="35" t="inlineStr"/>
      <c r="G19" t="inlineStr"/>
      <c r="H19" s="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52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DG-001</t>
        </is>
      </c>
      <c r="C6" t="inlineStr">
        <is>
          <t>Annual NFIS revenue</t>
        </is>
      </c>
      <c r="D6" s="6" t="inlineStr">
        <is>
          <t>HIGH</t>
        </is>
      </c>
      <c r="E6" t="inlineStr">
        <is>
          <t>NFIS Finance</t>
        </is>
      </c>
      <c r="F6" s="35" t="inlineStr">
        <is>
          <t>Cannot validate &lt;5% revenue check</t>
        </is>
      </c>
    </row>
    <row r="7">
      <c r="B7" t="inlineStr">
        <is>
          <t>DG-002</t>
        </is>
      </c>
      <c r="C7" t="inlineStr">
        <is>
          <t>Annual new DI account opens</t>
        </is>
      </c>
      <c r="D7" s="6" t="inlineStr">
        <is>
          <t>HIGH</t>
        </is>
      </c>
      <c r="E7" t="inlineStr">
        <is>
          <t>NFIS Operations</t>
        </is>
      </c>
      <c r="F7" s="35" t="inlineStr">
        <is>
          <t>L2 and CL5 baseline accuracy</t>
        </is>
      </c>
    </row>
    <row r="8">
      <c r="B8" t="inlineStr">
        <is>
          <t>DG-003</t>
        </is>
      </c>
      <c r="C8" t="inlineStr">
        <is>
          <t>Service team FTE count</t>
        </is>
      </c>
      <c r="D8" s="6" t="inlineStr">
        <is>
          <t>HIGH</t>
        </is>
      </c>
      <c r="E8" t="inlineStr">
        <is>
          <t>Tyler (Service Manager)</t>
        </is>
      </c>
      <c r="F8" s="35" t="inlineStr">
        <is>
          <t>L8 validation — current model uses volume-based cost</t>
        </is>
      </c>
    </row>
    <row r="9">
      <c r="B9" t="inlineStr">
        <is>
          <t>DG-004</t>
        </is>
      </c>
      <c r="C9" t="inlineStr">
        <is>
          <t>Actual DI attrition rate</t>
        </is>
      </c>
      <c r="D9" t="inlineStr">
        <is>
          <t>MEDIUM</t>
        </is>
      </c>
      <c r="E9" t="inlineStr">
        <is>
          <t>NFIS Analytics / TWB model output</t>
        </is>
      </c>
      <c r="F9" s="35" t="inlineStr">
        <is>
          <t>L7 baseline accuracy</t>
        </is>
      </c>
    </row>
    <row r="10">
      <c r="B10" t="inlineStr">
        <is>
          <t>DG-005</t>
        </is>
      </c>
      <c r="C10" t="inlineStr">
        <is>
          <t>FA advisor headcount</t>
        </is>
      </c>
      <c r="D10" t="inlineStr">
        <is>
          <t>MEDIUM</t>
        </is>
      </c>
      <c r="E10" t="inlineStr">
        <is>
          <t>Patrick Bryan</t>
        </is>
      </c>
      <c r="F10" s="35" t="inlineStr">
        <is>
          <t>CL1 capacity validation</t>
        </is>
      </c>
    </row>
    <row r="11">
      <c r="B11" t="inlineStr">
        <is>
          <t>DG-006</t>
        </is>
      </c>
      <c r="C11" t="inlineStr">
        <is>
          <t>FA fee rate schedule</t>
        </is>
      </c>
      <c r="D11" t="inlineStr">
        <is>
          <t>MEDIUM</t>
        </is>
      </c>
      <c r="E11" t="inlineStr">
        <is>
          <t>NFIS Product/Pricing</t>
        </is>
      </c>
      <c r="F11" s="35" t="inlineStr">
        <is>
          <t>L4 fee delta accuracy</t>
        </is>
      </c>
    </row>
    <row r="12">
      <c r="B12" t="inlineStr">
        <is>
          <t>DG-007</t>
        </is>
      </c>
      <c r="C12" t="inlineStr">
        <is>
          <t>Fusion IQ contract value</t>
        </is>
      </c>
      <c r="D12" t="inlineStr">
        <is>
          <t>MEDIUM</t>
        </is>
      </c>
      <c r="E12" t="inlineStr">
        <is>
          <t>NFIS IT/Procurement</t>
        </is>
      </c>
      <c r="F12" s="35" t="inlineStr">
        <is>
          <t>CL3 excluded without this data</t>
        </is>
      </c>
    </row>
    <row r="13">
      <c r="B13" t="inlineStr">
        <is>
          <t>DG-008</t>
        </is>
      </c>
      <c r="C13" t="inlineStr">
        <is>
          <t>AUM distribution of DI members</t>
        </is>
      </c>
      <c r="D13" t="inlineStr">
        <is>
          <t>MEDIUM</t>
        </is>
      </c>
      <c r="E13" t="inlineStr">
        <is>
          <t>NFIS Analytics</t>
        </is>
      </c>
      <c r="F13" s="35" t="inlineStr">
        <is>
          <t>L4 eligible population accuracy</t>
        </is>
      </c>
    </row>
    <row r="14">
      <c r="B14" t="inlineStr">
        <is>
          <t>DG-009</t>
        </is>
      </c>
      <c r="C14" t="inlineStr">
        <is>
          <t>IRA withdrawal volume and processing time</t>
        </is>
      </c>
      <c r="D14" t="inlineStr">
        <is>
          <t>LOW</t>
        </is>
      </c>
      <c r="E14" t="inlineStr">
        <is>
          <t>Tyler's team</t>
        </is>
      </c>
      <c r="F14" s="35" t="inlineStr">
        <is>
          <t>L8 IRA component</t>
        </is>
      </c>
    </row>
    <row r="15">
      <c r="B15" t="inlineStr">
        <is>
          <t>DG-010</t>
        </is>
      </c>
      <c r="C15" t="inlineStr">
        <is>
          <t>ACAT annual volume</t>
        </is>
      </c>
      <c r="D15" t="inlineStr">
        <is>
          <t>LOW</t>
        </is>
      </c>
      <c r="E15" t="inlineStr">
        <is>
          <t>NFIS Operations</t>
        </is>
      </c>
      <c r="F15" s="35" t="inlineStr">
        <is>
          <t>L5 (small lever)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2026-04-08T14:27:42Z</dcterms:created>
  <dcterms:modified xmlns:dcterms="http://purl.org/dc/terms/" xmlns:xsi="http://www.w3.org/2001/XMLSchema-instance" xsi:type="dcterms:W3CDTF">2026-04-08T14:27:42Z</dcterms:modified>
</cp:coreProperties>
</file>
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Journey Analysis" sheetId="5" state="visible" r:id="rId5"/>
    <sheet xmlns:r="http://schemas.openxmlformats.org/officeDocument/2006/relationships" name="Servicing Detail" sheetId="6" state="visible" r:id="rId6"/>
    <sheet xmlns:r="http://schemas.openxmlformats.org/officeDocument/2006/relationships" name="Model Inputs" sheetId="7" state="visible" r:id="rId7"/>
    <sheet xmlns:r="http://schemas.openxmlformats.org/officeDocument/2006/relationships" name="Scenario Data" sheetId="8" state="visible" r:id="rId8"/>
    <sheet xmlns:r="http://schemas.openxmlformats.org/officeDocument/2006/relationships" name="Bank Profile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Data Gaps" sheetId="11" state="visible" r:id="rId11"/>
  </sheets>
  <definedNames>
    <definedName name="ScenarioIndex">'Cashflows'!$C$5</definedName>
    <definedName name="DiscountRate">'Model Inputs'!$C18</definedName>
    <definedName name="License_Y1">'Model Inputs'!$C143</definedName>
    <definedName name="Impl_Y1">'Model Inputs'!$C150</definedName>
    <definedName name="License_Y2">'Model Inputs'!$C144</definedName>
    <definedName name="Impl_Y2">'Model Inputs'!$C151</definedName>
    <definedName name="License_Y3">'Model Inputs'!$C145</definedName>
    <definedName name="Impl_Y3">'Model Inputs'!$C152</definedName>
    <definedName name="License_Y4">'Model Inputs'!$C146</definedName>
    <definedName name="Impl_Y4">'Model Inputs'!$C153</definedName>
    <definedName name="License_Y5">'Model Inputs'!$C147</definedName>
    <definedName name="Impl_Y5">'Model Inputs'!$C154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00"/>
    <numFmt numFmtId="167" formatCode="0.0"/>
  </numFmts>
  <fonts count="3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sz val="9"/>
    </font>
    <font>
      <b val="1"/>
      <sz val="10"/>
    </font>
    <font>
      <b val="1"/>
      <color rgb="0000B386"/>
    </font>
    <font>
      <i val="1"/>
    </font>
    <font>
      <color rgb="0000B386"/>
    </font>
    <font>
      <color rgb="00666666"/>
      <sz val="8"/>
    </font>
    <font>
      <b val="1"/>
      <color rgb="0000B386"/>
      <sz val="12"/>
    </font>
    <font>
      <b val="1"/>
      <color rgb="001A56FF"/>
      <sz val="14"/>
    </font>
    <font>
      <b val="1"/>
      <color rgb="001A56FF"/>
      <sz val="13"/>
    </font>
    <font>
      <b val="1"/>
      <color rgb="0000B386"/>
      <sz val="10"/>
    </font>
    <font>
      <b val="1"/>
      <sz val="11"/>
    </font>
    <font>
      <color rgb="0000B386"/>
      <sz val="9"/>
    </font>
    <font>
      <b val="1"/>
      <color rgb="001A56FF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6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9" fillId="3" borderId="0" pivotButton="0" quotePrefix="0" xfId="0"/>
    <xf numFmtId="0" fontId="31" fillId="0" borderId="0" pivotButton="0" quotePrefix="0" xfId="0"/>
    <xf numFmtId="0" fontId="11" fillId="2" borderId="0" applyAlignment="1" pivotButton="0" quotePrefix="0" xfId="0">
      <alignment horizontal="center"/>
    </xf>
    <xf numFmtId="0" fontId="18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32" fillId="0" borderId="0" pivotButton="0" quotePrefix="0" xfId="0"/>
    <xf numFmtId="0" fontId="29" fillId="0" borderId="0" pivotButton="0" quotePrefix="0" xfId="0"/>
    <xf numFmtId="165" fontId="29" fillId="0" borderId="0" pivotButton="0" quotePrefix="0" xfId="0"/>
    <xf numFmtId="0" fontId="23" fillId="0" borderId="0" pivotButton="0" quotePrefix="0" xfId="0"/>
    <xf numFmtId="164" fontId="0" fillId="0" borderId="0" pivotButton="0" quotePrefix="0" xfId="0"/>
    <xf numFmtId="164" fontId="30" fillId="0" borderId="0" pivotButton="0" quotePrefix="0" xfId="0"/>
    <xf numFmtId="164" fontId="29" fillId="0" borderId="0" pivotButton="0" quotePrefix="0" xfId="0"/>
    <xf numFmtId="167" fontId="29" fillId="0" borderId="0" pivotButton="0" quotePrefix="0" xfId="0"/>
    <xf numFmtId="165" fontId="3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3" fontId="0" fillId="0" borderId="0" pivotButton="0" quotePrefix="0" xfId="0"/>
    <xf numFmtId="0" fontId="1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26" fillId="0" borderId="0" pivotButton="0" quotePrefix="0" xfId="0"/>
    <xf numFmtId="3" fontId="14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3" fontId="30" fillId="0" borderId="0" pivotButton="0" quotePrefix="0" xfId="0"/>
    <xf numFmtId="0" fontId="19" fillId="0" borderId="0" pivotButton="0" quotePrefix="0" xfId="0"/>
    <xf numFmtId="3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9" fontId="0" fillId="6" borderId="0" pivotButton="0" quotePrefix="0" xfId="0"/>
    <xf numFmtId="165" fontId="20" fillId="0" borderId="0" pivotButton="0" quotePrefix="0" xfId="0"/>
    <xf numFmtId="165" fontId="18" fillId="0" borderId="0" pivotButton="0" quotePrefix="0" xfId="0"/>
    <xf numFmtId="0" fontId="21" fillId="0" borderId="0" pivotButton="0" quotePrefix="0" xfId="0"/>
    <xf numFmtId="165" fontId="7" fillId="0" borderId="0" pivotButton="0" quotePrefix="0" xfId="0"/>
    <xf numFmtId="165" fontId="22" fillId="0" borderId="0" pivotButton="0" quotePrefix="0" xfId="0"/>
    <xf numFmtId="9" fontId="0" fillId="3" borderId="0" pivotButton="0" quotePrefix="0" xfId="0"/>
    <xf numFmtId="166" fontId="0" fillId="0" borderId="0" pivotButton="0" quotePrefix="0" xfId="0"/>
    <xf numFmtId="167" fontId="18" fillId="0" borderId="0" pivotButton="0" quotePrefix="0" xfId="0"/>
    <xf numFmtId="10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17" fillId="0" borderId="0" pivotButton="0" quotePrefix="0" xfId="0"/>
    <xf numFmtId="3" fontId="18" fillId="0" borderId="0" pivotButton="0" quotePrefix="0" xfId="0"/>
    <xf numFmtId="9" fontId="0" fillId="0" borderId="0" pivotButton="0" quotePrefix="0" xfId="0"/>
    <xf numFmtId="3" fontId="0" fillId="4" borderId="0" pivotButton="0" quotePrefix="0" xfId="0"/>
    <xf numFmtId="3" fontId="0" fillId="6" borderId="0" pivotButton="0" quotePrefix="0" xfId="0"/>
    <xf numFmtId="0" fontId="6" fillId="7" borderId="0" pivotButton="0" quotePrefix="0" xfId="0"/>
    <xf numFmtId="0" fontId="33" fillId="0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SeABank — Retail Banking Division</t>
        </is>
      </c>
    </row>
    <row r="12">
      <c r="B12" s="3" t="inlineStr">
        <is>
          <t>Date:</t>
        </is>
      </c>
      <c r="C12" t="inlineStr">
        <is>
          <t>2026-04-06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9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Servicing Detail — task-level breakdown</t>
        </is>
      </c>
    </row>
    <row r="8">
      <c r="B8" s="11" t="inlineStr"/>
      <c r="C8" t="inlineStr">
        <is>
          <t xml:space="preserve">  Lever: L1: Digital Onboarding Funnel Recovery</t>
        </is>
      </c>
    </row>
    <row r="9">
      <c r="B9" s="11" t="inlineStr"/>
      <c r="C9" t="inlineStr">
        <is>
          <t xml:space="preserve">  Lever: L2: Onboarding Cycle Time Acceleration</t>
        </is>
      </c>
    </row>
    <row r="10">
      <c r="B10" s="11" t="inlineStr"/>
      <c r="C10" t="inlineStr">
        <is>
          <t xml:space="preserve">  Lever: L3: Call Center Cost Deflection</t>
        </is>
      </c>
    </row>
    <row r="11">
      <c r="B11" s="11" t="inlineStr"/>
      <c r="C11" t="inlineStr">
        <is>
          <t xml:space="preserve">  Lever: L4: Branch-to-Digital Servicing Migration</t>
        </is>
      </c>
    </row>
    <row r="12">
      <c r="B12" s="11" t="inlineStr"/>
      <c r="C12" t="inlineStr">
        <is>
          <t xml:space="preserve">  Lever: L5: Digital Banking Adoption Acceleration</t>
        </is>
      </c>
    </row>
    <row r="13">
      <c r="B13" s="11" t="inlineStr"/>
      <c r="C13" t="inlineStr">
        <is>
          <t xml:space="preserve">  Lever: L6: Back Office STP &amp; Workaround Elimination</t>
        </is>
      </c>
    </row>
    <row r="14">
      <c r="B14" s="11" t="inlineStr"/>
      <c r="C14" t="inlineStr">
        <is>
          <t xml:space="preserve">  Lever: L7: Digital Lending Pre-Approved Origination</t>
        </is>
      </c>
    </row>
    <row r="15">
      <c r="B15" s="11" t="inlineStr"/>
      <c r="C15" t="inlineStr">
        <is>
          <t xml:space="preserve">  Lever: Loyalty, Retention &amp; Product Penetration</t>
        </is>
      </c>
    </row>
    <row r="16">
      <c r="B16" s="11" t="inlineStr"/>
      <c r="C16" t="inlineStr">
        <is>
          <t xml:space="preserve">  Cashflows — 5-year projection</t>
        </is>
      </c>
    </row>
    <row r="17">
      <c r="B17" s="3" t="inlineStr">
        <is>
          <t>Output Layer</t>
        </is>
      </c>
      <c r="C17" t="inlineStr">
        <is>
          <t>Results Dashboard — NPV, IRR, Payback, ROI</t>
        </is>
      </c>
    </row>
    <row r="18">
      <c r="B18" s="3" t="inlineStr">
        <is>
          <t>Reference</t>
        </is>
      </c>
      <c r="C18" t="inlineStr">
        <is>
          <t>Assumptions Register</t>
        </is>
      </c>
    </row>
    <row r="19">
      <c r="B19" s="11" t="inlineStr"/>
      <c r="C19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L1: Digital Onboarding Funnel Recovery</t>
        </is>
      </c>
      <c r="C10" s="18">
        <f>'Journey Analysis'!C30*'Model Inputs'!C160*'Model Inputs'!C166</f>
        <v/>
      </c>
      <c r="D10" s="18">
        <f>'Journey Analysis'!C30*'Model Inputs'!C161*'Model Inputs'!C167</f>
        <v/>
      </c>
      <c r="E10" s="18">
        <f>'Journey Analysis'!C30*'Model Inputs'!C162*'Model Inputs'!C168</f>
        <v/>
      </c>
      <c r="F10" s="18">
        <f>'Journey Analysis'!C30*'Model Inputs'!C163*'Model Inputs'!C169</f>
        <v/>
      </c>
      <c r="G10" s="18">
        <f>'Journey Analysis'!C30*'Model Inputs'!C164*'Model Inputs'!C170</f>
        <v/>
      </c>
      <c r="H10" s="18">
        <f>SUM(C10:G10)</f>
        <v/>
      </c>
    </row>
    <row r="11">
      <c r="B11" t="inlineStr">
        <is>
          <t>L2: Onboarding Cycle Time Acceleration</t>
        </is>
      </c>
      <c r="C11" s="18">
        <f>'Journey Analysis'!C46*'Model Inputs'!C160*'Model Inputs'!C166</f>
        <v/>
      </c>
      <c r="D11" s="18">
        <f>'Journey Analysis'!C46*'Model Inputs'!C161*'Model Inputs'!C167</f>
        <v/>
      </c>
      <c r="E11" s="18">
        <f>'Journey Analysis'!C46*'Model Inputs'!C162*'Model Inputs'!C168</f>
        <v/>
      </c>
      <c r="F11" s="18">
        <f>'Journey Analysis'!C46*'Model Inputs'!C163*'Model Inputs'!C169</f>
        <v/>
      </c>
      <c r="G11" s="18">
        <f>'Journey Analysis'!C46*'Model Inputs'!C164*'Model Inputs'!C170</f>
        <v/>
      </c>
      <c r="H11" s="18">
        <f>SUM(C11:G11)</f>
        <v/>
      </c>
    </row>
    <row r="12">
      <c r="B12" t="inlineStr">
        <is>
          <t>L3: Call Center Cost Deflection</t>
        </is>
      </c>
      <c r="C12" s="18">
        <f>'Journey Analysis'!C54*'Model Inputs'!C160*'Model Inputs'!C166</f>
        <v/>
      </c>
      <c r="D12" s="18">
        <f>'Journey Analysis'!C54*'Model Inputs'!C161*'Model Inputs'!C167</f>
        <v/>
      </c>
      <c r="E12" s="18">
        <f>'Journey Analysis'!C54*'Model Inputs'!C162*'Model Inputs'!C168</f>
        <v/>
      </c>
      <c r="F12" s="18">
        <f>'Journey Analysis'!C54*'Model Inputs'!C163*'Model Inputs'!C169</f>
        <v/>
      </c>
      <c r="G12" s="18">
        <f>'Journey Analysis'!C54*'Model Inputs'!C164*'Model Inputs'!C170</f>
        <v/>
      </c>
      <c r="H12" s="18">
        <f>SUM(C12:G12)</f>
        <v/>
      </c>
    </row>
    <row r="13">
      <c r="B13" t="inlineStr">
        <is>
          <t>L4: Branch-to-Digital Servicing Migration</t>
        </is>
      </c>
      <c r="C13" s="18">
        <f>'Journey Analysis'!C62*'Model Inputs'!C160*'Model Inputs'!C166</f>
        <v/>
      </c>
      <c r="D13" s="18">
        <f>'Journey Analysis'!C62*'Model Inputs'!C161*'Model Inputs'!C167</f>
        <v/>
      </c>
      <c r="E13" s="18">
        <f>'Journey Analysis'!C62*'Model Inputs'!C162*'Model Inputs'!C168</f>
        <v/>
      </c>
      <c r="F13" s="18">
        <f>'Journey Analysis'!C62*'Model Inputs'!C163*'Model Inputs'!C169</f>
        <v/>
      </c>
      <c r="G13" s="18">
        <f>'Journey Analysis'!C62*'Model Inputs'!C164*'Model Inputs'!C170</f>
        <v/>
      </c>
      <c r="H13" s="18">
        <f>SUM(C13:G13)</f>
        <v/>
      </c>
    </row>
    <row r="14">
      <c r="B14" t="inlineStr">
        <is>
          <t>L5: Digital Banking Adoption Acceleration</t>
        </is>
      </c>
      <c r="C14" s="18">
        <f>'Journey Analysis'!C78*'Model Inputs'!C160*'Model Inputs'!C166</f>
        <v/>
      </c>
      <c r="D14" s="18">
        <f>'Journey Analysis'!C78*'Model Inputs'!C161*'Model Inputs'!C167</f>
        <v/>
      </c>
      <c r="E14" s="18">
        <f>'Journey Analysis'!C78*'Model Inputs'!C162*'Model Inputs'!C168</f>
        <v/>
      </c>
      <c r="F14" s="18">
        <f>'Journey Analysis'!C78*'Model Inputs'!C163*'Model Inputs'!C169</f>
        <v/>
      </c>
      <c r="G14" s="18">
        <f>'Journey Analysis'!C78*'Model Inputs'!C164*'Model Inputs'!C170</f>
        <v/>
      </c>
      <c r="H14" s="18">
        <f>SUM(C14:G14)</f>
        <v/>
      </c>
    </row>
    <row r="15">
      <c r="B15" t="inlineStr">
        <is>
          <t>L6: Back Office STP &amp; Workaround Elimination</t>
        </is>
      </c>
      <c r="C15" s="18">
        <f>'Journey Analysis'!C103*'Model Inputs'!C160*'Model Inputs'!C166</f>
        <v/>
      </c>
      <c r="D15" s="18">
        <f>'Journey Analysis'!C103*'Model Inputs'!C161*'Model Inputs'!C167</f>
        <v/>
      </c>
      <c r="E15" s="18">
        <f>'Journey Analysis'!C103*'Model Inputs'!C162*'Model Inputs'!C168</f>
        <v/>
      </c>
      <c r="F15" s="18">
        <f>'Journey Analysis'!C103*'Model Inputs'!C163*'Model Inputs'!C169</f>
        <v/>
      </c>
      <c r="G15" s="18">
        <f>'Journey Analysis'!C103*'Model Inputs'!C164*'Model Inputs'!C170</f>
        <v/>
      </c>
      <c r="H15" s="18">
        <f>SUM(C15:G15)</f>
        <v/>
      </c>
    </row>
    <row r="16">
      <c r="B16" t="inlineStr">
        <is>
          <t>L7: Digital Lending Pre-Approved Origination</t>
        </is>
      </c>
      <c r="C16" s="18">
        <f>'Journey Analysis'!C138*'Model Inputs'!C160*'Model Inputs'!C166</f>
        <v/>
      </c>
      <c r="D16" s="18">
        <f>'Journey Analysis'!C138*'Model Inputs'!C161*'Model Inputs'!C167</f>
        <v/>
      </c>
      <c r="E16" s="18">
        <f>'Journey Analysis'!C138*'Model Inputs'!C162*'Model Inputs'!C168</f>
        <v/>
      </c>
      <c r="F16" s="18">
        <f>'Journey Analysis'!C138*'Model Inputs'!C163*'Model Inputs'!C169</f>
        <v/>
      </c>
      <c r="G16" s="18">
        <f>'Journey Analysis'!C138*'Model Inputs'!C164*'Model Inputs'!C170</f>
        <v/>
      </c>
      <c r="H16" s="18">
        <f>SUM(C16:G16)</f>
        <v/>
      </c>
    </row>
    <row r="17">
      <c r="B17" t="inlineStr">
        <is>
          <t>Loyalty, Retention &amp; Product Penetration</t>
        </is>
      </c>
      <c r="C17" s="18">
        <f>'Journey Analysis'!C164*'Model Inputs'!C160*'Model Inputs'!C166</f>
        <v/>
      </c>
      <c r="D17" s="18">
        <f>'Journey Analysis'!C164*'Model Inputs'!C161*'Model Inputs'!C167</f>
        <v/>
      </c>
      <c r="E17" s="18">
        <f>'Journey Analysis'!C164*'Model Inputs'!C162*'Model Inputs'!C168</f>
        <v/>
      </c>
      <c r="F17" s="18">
        <f>'Journey Analysis'!C164*'Model Inputs'!C163*'Model Inputs'!C169</f>
        <v/>
      </c>
      <c r="G17" s="18">
        <f>'Journey Analysis'!C164*'Model Inputs'!C164*'Model Inputs'!C170</f>
        <v/>
      </c>
      <c r="H17" s="18">
        <f>SUM(C17:G17)</f>
        <v/>
      </c>
    </row>
    <row r="18">
      <c r="B18" t="inlineStr">
        <is>
          <t>Servicing Growth Avoidance (FTE)</t>
        </is>
      </c>
      <c r="C18" s="18">
        <f>'Servicing Detail'!C61</f>
        <v/>
      </c>
      <c r="D18" s="18">
        <f>'Servicing Detail'!D61</f>
        <v/>
      </c>
      <c r="E18" s="18">
        <f>'Servicing Detail'!E61</f>
        <v/>
      </c>
      <c r="F18" s="18">
        <f>'Servicing Detail'!F61</f>
        <v/>
      </c>
      <c r="G18" s="18">
        <f>'Servicing Detail'!G61</f>
        <v/>
      </c>
      <c r="H18" s="18">
        <f>SUM(C18:G18)</f>
        <v/>
      </c>
    </row>
    <row r="20">
      <c r="B20" s="3" t="inlineStr">
        <is>
          <t>Total Cash Inflow</t>
        </is>
      </c>
      <c r="C20" s="19">
        <f>SUM(C10:C18)</f>
        <v/>
      </c>
      <c r="D20" s="19">
        <f>SUM(D10:D18)</f>
        <v/>
      </c>
      <c r="E20" s="19">
        <f>SUM(E10:E18)</f>
        <v/>
      </c>
      <c r="F20" s="19">
        <f>SUM(F10:F18)</f>
        <v/>
      </c>
      <c r="G20" s="19">
        <f>SUM(G10:G18)</f>
        <v/>
      </c>
      <c r="H20" s="19">
        <f>SUM(H10:H18)</f>
        <v/>
      </c>
    </row>
    <row r="23">
      <c r="B23" s="20" t="inlineStr">
        <is>
          <t>CASH OUTFLOWS (Investment)</t>
        </is>
      </c>
    </row>
    <row r="24">
      <c r="B24" t="inlineStr">
        <is>
          <t>License</t>
        </is>
      </c>
      <c r="C24" s="18">
        <f>'Model Inputs'!C143</f>
        <v/>
      </c>
      <c r="D24" s="18">
        <f>'Model Inputs'!C144</f>
        <v/>
      </c>
      <c r="E24" s="18">
        <f>'Model Inputs'!C145</f>
        <v/>
      </c>
      <c r="F24" s="18">
        <f>'Model Inputs'!C146</f>
        <v/>
      </c>
      <c r="G24" s="18">
        <f>'Model Inputs'!C147</f>
        <v/>
      </c>
      <c r="H24" s="18">
        <f>SUM(C24:G24)</f>
        <v/>
      </c>
    </row>
    <row r="25">
      <c r="B25" t="inlineStr">
        <is>
          <t>Implementation</t>
        </is>
      </c>
      <c r="C25" s="18">
        <f>'Model Inputs'!C150</f>
        <v/>
      </c>
      <c r="D25" s="18">
        <f>'Model Inputs'!C151</f>
        <v/>
      </c>
      <c r="E25" s="18">
        <f>'Model Inputs'!C152</f>
        <v/>
      </c>
      <c r="F25" s="18">
        <f>'Model Inputs'!C153</f>
        <v/>
      </c>
      <c r="G25" s="18">
        <f>'Model Inputs'!C154</f>
        <v/>
      </c>
      <c r="H25" s="18">
        <f>SUM(C25:G25)</f>
        <v/>
      </c>
    </row>
    <row r="26">
      <c r="B26" s="3" t="inlineStr">
        <is>
          <t>Total Cash Outflow</t>
        </is>
      </c>
      <c r="C26" s="19">
        <f>C24+C25</f>
        <v/>
      </c>
      <c r="D26" s="19">
        <f>D24+D25</f>
        <v/>
      </c>
      <c r="E26" s="19">
        <f>E24+E25</f>
        <v/>
      </c>
      <c r="F26" s="19">
        <f>F24+F25</f>
        <v/>
      </c>
      <c r="G26" s="19">
        <f>G24+G25</f>
        <v/>
      </c>
      <c r="H26" s="19">
        <f>H24+H25</f>
        <v/>
      </c>
    </row>
    <row r="29">
      <c r="B29" s="21" t="inlineStr">
        <is>
          <t>NET CASHFLOW</t>
        </is>
      </c>
      <c r="C29" s="19">
        <f>C20-C26</f>
        <v/>
      </c>
      <c r="D29" s="19">
        <f>D20-D26</f>
        <v/>
      </c>
      <c r="E29" s="19">
        <f>E20-E26</f>
        <v/>
      </c>
      <c r="F29" s="19">
        <f>F20-F26</f>
        <v/>
      </c>
      <c r="G29" s="19">
        <f>G20-G26</f>
        <v/>
      </c>
      <c r="H29" s="22">
        <f>SUM(C29:G29)</f>
        <v/>
      </c>
    </row>
    <row r="30">
      <c r="B30" t="inlineStr">
        <is>
          <t>Cumulative Cashflow</t>
        </is>
      </c>
      <c r="C30" s="18">
        <f>C29</f>
        <v/>
      </c>
      <c r="D30" s="18">
        <f>C30+D29</f>
        <v/>
      </c>
      <c r="E30" s="18">
        <f>D30+E29</f>
        <v/>
      </c>
      <c r="F30" s="18">
        <f>E30+F29</f>
        <v/>
      </c>
      <c r="G30" s="18">
        <f>F30+G29</f>
        <v/>
      </c>
    </row>
    <row r="34">
      <c r="B34" s="23" t="inlineStr">
        <is>
          <t>FINANCIAL METRICS</t>
        </is>
      </c>
    </row>
    <row r="35">
      <c r="B35" t="inlineStr">
        <is>
          <t>Discount Rate (WACC)</t>
        </is>
      </c>
      <c r="C35" s="24">
        <f>'Model Inputs'!C18</f>
        <v/>
      </c>
    </row>
    <row r="36">
      <c r="B36" t="inlineStr">
        <is>
          <t>Total 5-Year Benefits</t>
        </is>
      </c>
      <c r="C36" s="22">
        <f>H20</f>
        <v/>
      </c>
    </row>
    <row r="37">
      <c r="B37" t="inlineStr">
        <is>
          <t>Total 5-Year Investment</t>
        </is>
      </c>
      <c r="C37" s="18">
        <f>H26</f>
        <v/>
      </c>
    </row>
    <row r="38">
      <c r="B38" t="inlineStr">
        <is>
          <t>Net Benefit</t>
        </is>
      </c>
      <c r="C38" s="22">
        <f>C36-C37</f>
        <v/>
      </c>
    </row>
    <row r="39">
      <c r="B39" t="inlineStr">
        <is>
          <t>ROI %</t>
        </is>
      </c>
      <c r="C39" s="25">
        <f>IFERROR((C36-C37)/C37,0)</f>
        <v/>
      </c>
    </row>
    <row r="40">
      <c r="B40" t="inlineStr">
        <is>
          <t>Net Present Value (NPV)</t>
        </is>
      </c>
      <c r="C40" s="22">
        <f>NPV(C35,C29:G29)</f>
        <v/>
      </c>
    </row>
    <row r="41">
      <c r="B41" t="inlineStr">
        <is>
          <t>Internal Rate of Return (IRR)</t>
        </is>
      </c>
      <c r="C41" s="26">
        <f>IFERROR(IRR(C29:G29),"N/A")</f>
        <v/>
      </c>
    </row>
    <row r="42">
      <c r="B42" t="inlineStr">
        <is>
          <t>Payback Period (Years)</t>
        </is>
      </c>
      <c r="C42" s="27">
        <f>IF(C30&gt;=0,1-((C30-C29)/C29),IF(D30&gt;=0,2-((D30-D29)/D29),IF(E30&gt;=0,3-((E30-E29)/E29),IF(F30&gt;=0,4-((F30-F29)/F29),IF(G30&gt;=0,5-((G30-G29)/G29),"N/A")))))</f>
        <v/>
      </c>
    </row>
    <row r="46">
      <c r="B46" s="23" t="inlineStr">
        <is>
          <t>BENEFITS BY LEVER (Annual Steady State)</t>
        </is>
      </c>
    </row>
    <row r="48">
      <c r="B48" s="16" t="inlineStr">
        <is>
          <t>Lever Group</t>
        </is>
      </c>
      <c r="C48" s="16" t="inlineStr">
        <is>
          <t>Lifecycle Stage</t>
        </is>
      </c>
      <c r="D48" s="16" t="inlineStr">
        <is>
          <t>Annual Benefit</t>
        </is>
      </c>
    </row>
    <row r="49">
      <c r="B49" t="inlineStr">
        <is>
          <t>L1: Digital Onboarding Funnel Recovery</t>
        </is>
      </c>
      <c r="C49" t="inlineStr">
        <is>
          <t>Acquire</t>
        </is>
      </c>
      <c r="D49" s="19">
        <f>'Journey Analysis'!C30</f>
        <v/>
      </c>
    </row>
    <row r="50">
      <c r="B50" t="inlineStr">
        <is>
          <t>L2: Onboarding Cycle Time Acceleration</t>
        </is>
      </c>
      <c r="C50" t="inlineStr">
        <is>
          <t>Activate</t>
        </is>
      </c>
      <c r="D50" s="19">
        <f>'Journey Analysis'!C46</f>
        <v/>
      </c>
    </row>
    <row r="51">
      <c r="B51" t="inlineStr">
        <is>
          <t>L3: Call Center Cost Deflection</t>
        </is>
      </c>
      <c r="C51" t="inlineStr">
        <is>
          <t>Retain</t>
        </is>
      </c>
      <c r="D51" s="19">
        <f>'Journey Analysis'!C54</f>
        <v/>
      </c>
    </row>
    <row r="52">
      <c r="B52" t="inlineStr">
        <is>
          <t>L4: Branch-to-Digital Servicing Migration</t>
        </is>
      </c>
      <c r="C52" t="inlineStr">
        <is>
          <t>Retain</t>
        </is>
      </c>
      <c r="D52" s="19">
        <f>'Journey Analysis'!C62</f>
        <v/>
      </c>
    </row>
    <row r="53">
      <c r="B53" t="inlineStr">
        <is>
          <t>L5: Digital Banking Adoption Acceleration</t>
        </is>
      </c>
      <c r="C53" t="inlineStr">
        <is>
          <t>Activate</t>
        </is>
      </c>
      <c r="D53" s="19">
        <f>'Journey Analysis'!C78</f>
        <v/>
      </c>
    </row>
    <row r="54">
      <c r="B54" t="inlineStr">
        <is>
          <t>L6: Back Office STP &amp; Workaround Elimination</t>
        </is>
      </c>
      <c r="C54" t="inlineStr">
        <is>
          <t>Activate</t>
        </is>
      </c>
      <c r="D54" s="19">
        <f>'Journey Analysis'!C103</f>
        <v/>
      </c>
    </row>
    <row r="55">
      <c r="B55" t="inlineStr">
        <is>
          <t>L7: Digital Lending Pre-Approved Origination</t>
        </is>
      </c>
      <c r="C55" t="inlineStr">
        <is>
          <t>Expand</t>
        </is>
      </c>
      <c r="D55" s="19">
        <f>'Journey Analysis'!C138</f>
        <v/>
      </c>
    </row>
    <row r="56">
      <c r="B56" t="inlineStr">
        <is>
          <t>Loyalty, Retention &amp; Product Penetration</t>
        </is>
      </c>
      <c r="C56" t="inlineStr">
        <is>
          <t>Retain</t>
        </is>
      </c>
      <c r="D56" s="19">
        <f>'Journey Analysis'!C164</f>
        <v/>
      </c>
    </row>
    <row r="57">
      <c r="B57" s="3" t="inlineStr">
        <is>
          <t>TOTAL</t>
        </is>
      </c>
      <c r="D57" s="28">
        <f>SUM(D49:D56)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6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L1: Digital Onboarding Funnel Recovery</t>
        </is>
      </c>
    </row>
    <row r="6">
      <c r="B6" s="31" t="inlineStr">
        <is>
          <t>Evidence: E1, E2, E7</t>
        </is>
      </c>
    </row>
    <row r="7">
      <c r="B7" s="30" t="inlineStr">
        <is>
          <t>Revenue Generation</t>
        </is>
      </c>
    </row>
    <row r="8">
      <c r="B8" s="33" t="inlineStr">
        <is>
          <t xml:space="preserve">  Digital Onboarding Funnel Recovery</t>
        </is>
      </c>
      <c r="D8" s="31" t="inlineStr">
        <is>
          <t>Revenue</t>
        </is>
      </c>
    </row>
    <row r="9">
      <c r="B9" s="16" t="inlineStr">
        <is>
          <t>Factor</t>
        </is>
      </c>
      <c r="C9" s="16" t="inlineStr">
        <is>
          <t>Value</t>
        </is>
      </c>
      <c r="D9" s="16" t="inlineStr">
        <is>
          <t>Unit</t>
        </is>
      </c>
    </row>
    <row r="10">
      <c r="B10" t="inlineStr">
        <is>
          <t xml:space="preserve">    Annual Downloads</t>
        </is>
      </c>
      <c r="C10" s="34">
        <f>'Model Inputs'!C25</f>
        <v/>
      </c>
      <c r="D10" s="35" t="inlineStr">
        <is>
          <t>downloads/year</t>
        </is>
      </c>
    </row>
    <row r="11">
      <c r="B11" t="inlineStr">
        <is>
          <t xml:space="preserve">    Current Drop Rate</t>
        </is>
      </c>
      <c r="C11">
        <f>'Model Inputs'!C26</f>
        <v/>
      </c>
      <c r="D11" s="35" t="inlineStr">
        <is>
          <t>ratio</t>
        </is>
      </c>
    </row>
    <row r="12">
      <c r="B12" t="inlineStr">
        <is>
          <t xml:space="preserve">    Completion Rate</t>
        </is>
      </c>
      <c r="C12">
        <f>'Model Inputs'!C27</f>
        <v/>
      </c>
      <c r="D12" s="35" t="inlineStr">
        <is>
          <t>ratio</t>
        </is>
      </c>
    </row>
    <row r="13">
      <c r="B13" t="inlineStr">
        <is>
          <t xml:space="preserve">    Net Incremental Factor</t>
        </is>
      </c>
      <c r="C13">
        <f>'Model Inputs'!C28</f>
        <v/>
      </c>
      <c r="D13" s="35" t="inlineStr">
        <is>
          <t>ratio</t>
        </is>
      </c>
    </row>
    <row r="14">
      <c r="B14" t="inlineStr">
        <is>
          <t xml:space="preserve">    Revenue Per Customer</t>
        </is>
      </c>
      <c r="C14">
        <f>'Model Inputs'!C29</f>
        <v/>
      </c>
      <c r="D14" s="35" t="inlineStr">
        <is>
          <t>USD/year</t>
        </is>
      </c>
    </row>
    <row r="15">
      <c r="B15" s="3" t="inlineStr">
        <is>
          <t xml:space="preserve">    Baseline</t>
        </is>
      </c>
      <c r="C15" s="36">
        <f>C10 * C11 * C12 * C13 * C14</f>
        <v/>
      </c>
      <c r="D15" s="35" t="inlineStr">
        <is>
          <t>USD/year</t>
        </is>
      </c>
    </row>
    <row r="16">
      <c r="B16" s="3" t="inlineStr">
        <is>
          <t xml:space="preserve">    Backbase Impact</t>
        </is>
      </c>
      <c r="C16" s="37">
        <f>'Model Inputs'!C30</f>
        <v/>
      </c>
      <c r="D16" s="31" t="inlineStr">
        <is>
          <t>% of baseline captured by Backbase</t>
        </is>
      </c>
    </row>
    <row r="17">
      <c r="B17" s="38" t="inlineStr">
        <is>
          <t xml:space="preserve">    Annual Benefit</t>
        </is>
      </c>
      <c r="C17" s="39">
        <f>C15*C16</f>
        <v/>
      </c>
      <c r="D17" s="40" t="inlineStr">
        <is>
          <t>USD/year (scenario-adjusted)</t>
        </is>
      </c>
    </row>
    <row r="19">
      <c r="B19" s="29" t="inlineStr">
        <is>
          <t>Cost Reduction</t>
        </is>
      </c>
    </row>
    <row r="20">
      <c r="B20" s="41" t="inlineStr">
        <is>
          <t xml:space="preserve">  Branch-to-Digital Onboarding Migration</t>
        </is>
      </c>
      <c r="D20" s="31" t="inlineStr">
        <is>
          <t>Cost</t>
        </is>
      </c>
    </row>
    <row r="21">
      <c r="B21" s="16" t="inlineStr">
        <is>
          <t>Factor</t>
        </is>
      </c>
      <c r="C21" s="16" t="inlineStr">
        <is>
          <t>Value</t>
        </is>
      </c>
      <c r="D21" s="16" t="inlineStr">
        <is>
          <t>Unit</t>
        </is>
      </c>
    </row>
    <row r="22">
      <c r="B22" t="inlineStr">
        <is>
          <t xml:space="preserve">    Annual Branch Openings</t>
        </is>
      </c>
      <c r="C22" s="34">
        <f>'Model Inputs'!C35</f>
        <v/>
      </c>
      <c r="D22" s="35" t="inlineStr">
        <is>
          <t>accounts/year</t>
        </is>
      </c>
    </row>
    <row r="23">
      <c r="B23" t="inlineStr">
        <is>
          <t xml:space="preserve">    Time Saved Hours</t>
        </is>
      </c>
      <c r="C23">
        <f>'Model Inputs'!C36</f>
        <v/>
      </c>
      <c r="D23" s="35" t="inlineStr">
        <is>
          <t>hours</t>
        </is>
      </c>
    </row>
    <row r="24">
      <c r="B24" t="inlineStr">
        <is>
          <t xml:space="preserve">    Fte Rate</t>
        </is>
      </c>
      <c r="C24">
        <f>'Model Inputs'!C37</f>
        <v/>
      </c>
      <c r="D24" s="35" t="inlineStr">
        <is>
          <t>USD/hour</t>
        </is>
      </c>
    </row>
    <row r="25">
      <c r="B25" s="3" t="inlineStr">
        <is>
          <t xml:space="preserve">    Baseline</t>
        </is>
      </c>
      <c r="C25" s="36">
        <f>C22 * C23 * C24</f>
        <v/>
      </c>
      <c r="D25" s="35" t="inlineStr">
        <is>
          <t>USD/year</t>
        </is>
      </c>
    </row>
    <row r="26">
      <c r="B26" s="3" t="inlineStr">
        <is>
          <t xml:space="preserve">    Backbase Impact</t>
        </is>
      </c>
      <c r="C26" s="37">
        <f>'Model Inputs'!C38</f>
        <v/>
      </c>
      <c r="D26" s="31" t="inlineStr">
        <is>
          <t>% of baseline captured by Backbase</t>
        </is>
      </c>
    </row>
    <row r="27">
      <c r="B27" s="38" t="inlineStr">
        <is>
          <t xml:space="preserve">    Annual Benefit</t>
        </is>
      </c>
      <c r="C27" s="39">
        <f>C25*C26</f>
        <v/>
      </c>
      <c r="D27" s="40" t="inlineStr">
        <is>
          <t>USD/year (scenario-adjusted)</t>
        </is>
      </c>
    </row>
    <row r="30">
      <c r="B30" s="38" t="inlineStr">
        <is>
          <t>Total: L1: Digital Onboarding Funnel Recovery</t>
        </is>
      </c>
      <c r="C30" s="39">
        <f>C17+C27</f>
        <v/>
      </c>
    </row>
    <row r="33">
      <c r="B33" s="32" t="inlineStr">
        <is>
          <t>L2: Onboarding Cycle Time Acceleration</t>
        </is>
      </c>
    </row>
    <row r="34">
      <c r="B34" s="31" t="inlineStr">
        <is>
          <t>Evidence: E3, E8</t>
        </is>
      </c>
    </row>
    <row r="35">
      <c r="B35" s="29" t="inlineStr">
        <is>
          <t>Cost Reduction</t>
        </is>
      </c>
    </row>
    <row r="36">
      <c r="B36" s="41" t="inlineStr">
        <is>
          <t xml:space="preserve">  Onboarding Processing Cost Reduction via STP</t>
        </is>
      </c>
      <c r="D36" s="31" t="inlineStr">
        <is>
          <t>Cost</t>
        </is>
      </c>
    </row>
    <row r="37">
      <c r="B37" s="16" t="inlineStr">
        <is>
          <t>Factor</t>
        </is>
      </c>
      <c r="C37" s="16" t="inlineStr">
        <is>
          <t>Value</t>
        </is>
      </c>
      <c r="D37" s="16" t="inlineStr">
        <is>
          <t>Unit</t>
        </is>
      </c>
    </row>
    <row r="38">
      <c r="B38" t="inlineStr">
        <is>
          <t xml:space="preserve">    Annual Applications</t>
        </is>
      </c>
      <c r="C38" s="34">
        <f>'Model Inputs'!C45</f>
        <v/>
      </c>
      <c r="D38" s="35" t="inlineStr">
        <is>
          <t>applications/year</t>
        </is>
      </c>
    </row>
    <row r="39">
      <c r="B39" t="inlineStr">
        <is>
          <t xml:space="preserve">    Manual Processing Hours</t>
        </is>
      </c>
      <c r="C39">
        <f>'Model Inputs'!C46</f>
        <v/>
      </c>
      <c r="D39" s="35" t="inlineStr">
        <is>
          <t>hours</t>
        </is>
      </c>
    </row>
    <row r="40">
      <c r="B40" t="inlineStr">
        <is>
          <t xml:space="preserve">    Fte Rate</t>
        </is>
      </c>
      <c r="C40">
        <f>'Model Inputs'!C47</f>
        <v/>
      </c>
      <c r="D40" s="35" t="inlineStr">
        <is>
          <t>USD/hour</t>
        </is>
      </c>
    </row>
    <row r="41">
      <c r="B41" s="3" t="inlineStr">
        <is>
          <t xml:space="preserve">    Baseline</t>
        </is>
      </c>
      <c r="C41" s="36">
        <f>C38 * C39 * C40</f>
        <v/>
      </c>
      <c r="D41" s="35" t="inlineStr">
        <is>
          <t>USD/year</t>
        </is>
      </c>
    </row>
    <row r="42">
      <c r="B42" s="3" t="inlineStr">
        <is>
          <t xml:space="preserve">    Backbase Impact</t>
        </is>
      </c>
      <c r="C42" s="37">
        <f>'Model Inputs'!C48</f>
        <v/>
      </c>
      <c r="D42" s="31" t="inlineStr">
        <is>
          <t>% of baseline captured by Backbase</t>
        </is>
      </c>
    </row>
    <row r="43">
      <c r="B43" s="38" t="inlineStr">
        <is>
          <t xml:space="preserve">    Annual Benefit</t>
        </is>
      </c>
      <c r="C43" s="39">
        <f>C41*C42</f>
        <v/>
      </c>
      <c r="D43" s="40" t="inlineStr">
        <is>
          <t>USD/year (scenario-adjusted)</t>
        </is>
      </c>
    </row>
    <row r="46">
      <c r="B46" s="38" t="inlineStr">
        <is>
          <t>Total: L2: Onboarding Cycle Time Acceleration</t>
        </is>
      </c>
      <c r="C46" s="39">
        <f>C43</f>
        <v/>
      </c>
    </row>
    <row r="49">
      <c r="B49" s="32" t="inlineStr">
        <is>
          <t>L3: Call Center Cost Deflection</t>
        </is>
      </c>
    </row>
    <row r="50">
      <c r="B50" s="31" t="inlineStr">
        <is>
          <t>Evidence: E4, E5</t>
        </is>
      </c>
    </row>
    <row r="51">
      <c r="B51" s="29" t="inlineStr">
        <is>
          <t>Servicing Cost Avoidance</t>
        </is>
      </c>
    </row>
    <row r="52">
      <c r="B52" t="inlineStr">
        <is>
          <t xml:space="preserve">  Servicing Total (see Servicing Detail sheet)</t>
        </is>
      </c>
      <c r="C52" s="34">
        <f>'Servicing Detail'!K44</f>
        <v/>
      </c>
    </row>
    <row r="54">
      <c r="B54" s="38" t="inlineStr">
        <is>
          <t>Total: L3: Call Center Cost Deflection</t>
        </is>
      </c>
      <c r="C54" s="39">
        <f>C52</f>
        <v/>
      </c>
    </row>
    <row r="57">
      <c r="B57" s="32" t="inlineStr">
        <is>
          <t>L4: Branch-to-Digital Servicing Migration</t>
        </is>
      </c>
    </row>
    <row r="58">
      <c r="B58" s="31" t="inlineStr">
        <is>
          <t>Evidence: E4, E5, E6</t>
        </is>
      </c>
    </row>
    <row r="59">
      <c r="B59" s="29" t="inlineStr">
        <is>
          <t>Servicing Cost Avoidance</t>
        </is>
      </c>
    </row>
    <row r="60">
      <c r="B60" t="inlineStr">
        <is>
          <t xml:space="preserve">  Servicing Total (see Servicing Detail sheet)</t>
        </is>
      </c>
      <c r="C60" s="34">
        <f>'Servicing Detail'!K44</f>
        <v/>
      </c>
    </row>
    <row r="62">
      <c r="B62" s="38" t="inlineStr">
        <is>
          <t>Total: L4: Branch-to-Digital Servicing Migration</t>
        </is>
      </c>
      <c r="C62" s="39">
        <f>C60</f>
        <v/>
      </c>
    </row>
    <row r="65">
      <c r="B65" s="32" t="inlineStr">
        <is>
          <t>L5: Digital Banking Adoption Acceleration</t>
        </is>
      </c>
    </row>
    <row r="66">
      <c r="B66" s="31" t="inlineStr">
        <is>
          <t>Evidence: E7, E8</t>
        </is>
      </c>
    </row>
    <row r="67">
      <c r="B67" s="30" t="inlineStr">
        <is>
          <t>Revenue Generation</t>
        </is>
      </c>
    </row>
    <row r="68">
      <c r="B68" s="33" t="inlineStr">
        <is>
          <t xml:space="preserve">  Revenue Uplift from Digital Adoption Acceleration</t>
        </is>
      </c>
      <c r="D68" s="31" t="inlineStr">
        <is>
          <t>Revenue</t>
        </is>
      </c>
    </row>
    <row r="69">
      <c r="B69" s="16" t="inlineStr">
        <is>
          <t>Factor</t>
        </is>
      </c>
      <c r="C69" s="16" t="inlineStr">
        <is>
          <t>Value</t>
        </is>
      </c>
      <c r="D69" s="16" t="inlineStr">
        <is>
          <t>Unit</t>
        </is>
      </c>
    </row>
    <row r="70">
      <c r="B70" t="inlineStr">
        <is>
          <t xml:space="preserve">    Total Customers</t>
        </is>
      </c>
      <c r="C70" s="34">
        <f>'Model Inputs'!C59</f>
        <v/>
      </c>
      <c r="D70" s="35" t="inlineStr">
        <is>
          <t>customers</t>
        </is>
      </c>
    </row>
    <row r="71">
      <c r="B71" t="inlineStr">
        <is>
          <t xml:space="preserve">    Digital Active Rate Uplift</t>
        </is>
      </c>
      <c r="C71">
        <f>'Model Inputs'!C60</f>
        <v/>
      </c>
      <c r="D71" s="35" t="inlineStr">
        <is>
          <t>ratio</t>
        </is>
      </c>
    </row>
    <row r="72">
      <c r="B72" t="inlineStr">
        <is>
          <t xml:space="preserve">    Incremental Revenue Per Digital Customer</t>
        </is>
      </c>
      <c r="C72">
        <f>'Model Inputs'!C61</f>
        <v/>
      </c>
      <c r="D72" s="35" t="inlineStr">
        <is>
          <t>USD/year</t>
        </is>
      </c>
    </row>
    <row r="73">
      <c r="B73" s="3" t="inlineStr">
        <is>
          <t xml:space="preserve">    Baseline</t>
        </is>
      </c>
      <c r="C73" s="36">
        <f>C70 * C71 * C72</f>
        <v/>
      </c>
      <c r="D73" s="35" t="inlineStr">
        <is>
          <t>USD/year</t>
        </is>
      </c>
    </row>
    <row r="74">
      <c r="B74" s="3" t="inlineStr">
        <is>
          <t xml:space="preserve">    Backbase Impact</t>
        </is>
      </c>
      <c r="C74" s="37">
        <f>'Model Inputs'!C62</f>
        <v/>
      </c>
      <c r="D74" s="31" t="inlineStr">
        <is>
          <t>% of baseline captured by Backbase</t>
        </is>
      </c>
    </row>
    <row r="75">
      <c r="B75" s="38" t="inlineStr">
        <is>
          <t xml:space="preserve">    Annual Benefit</t>
        </is>
      </c>
      <c r="C75" s="39">
        <f>C73*C74</f>
        <v/>
      </c>
      <c r="D75" s="40" t="inlineStr">
        <is>
          <t>USD/year (scenario-adjusted)</t>
        </is>
      </c>
    </row>
    <row r="78">
      <c r="B78" s="38" t="inlineStr">
        <is>
          <t>Total: L5: Digital Banking Adoption Acceleration</t>
        </is>
      </c>
      <c r="C78" s="39">
        <f>C75</f>
        <v/>
      </c>
    </row>
    <row r="81">
      <c r="B81" s="32" t="inlineStr">
        <is>
          <t>L6: Back Office STP &amp; Workaround Elimination</t>
        </is>
      </c>
    </row>
    <row r="82">
      <c r="B82" s="31" t="inlineStr">
        <is>
          <t>Evidence: E8, E3</t>
        </is>
      </c>
    </row>
    <row r="83">
      <c r="B83" s="29" t="inlineStr">
        <is>
          <t>Cost Reduction</t>
        </is>
      </c>
    </row>
    <row r="84">
      <c r="B84" s="41" t="inlineStr">
        <is>
          <t xml:space="preserve">  Back-Office STP Improvement</t>
        </is>
      </c>
      <c r="D84" s="31" t="inlineStr">
        <is>
          <t>Cost</t>
        </is>
      </c>
    </row>
    <row r="85">
      <c r="B85" s="16" t="inlineStr">
        <is>
          <t>Factor</t>
        </is>
      </c>
      <c r="C85" s="16" t="inlineStr">
        <is>
          <t>Value</t>
        </is>
      </c>
      <c r="D85" s="16" t="inlineStr">
        <is>
          <t>Unit</t>
        </is>
      </c>
    </row>
    <row r="86">
      <c r="B86" t="inlineStr">
        <is>
          <t xml:space="preserve">    Annual Processing Volume</t>
        </is>
      </c>
      <c r="C86" s="34">
        <f>'Model Inputs'!C69</f>
        <v/>
      </c>
      <c r="D86" s="35" t="inlineStr">
        <is>
          <t>transactions/year</t>
        </is>
      </c>
    </row>
    <row r="87">
      <c r="B87" t="inlineStr">
        <is>
          <t xml:space="preserve">    Avg Processing Hours</t>
        </is>
      </c>
      <c r="C87">
        <f>'Model Inputs'!C70</f>
        <v/>
      </c>
      <c r="D87" s="35" t="inlineStr">
        <is>
          <t>hours</t>
        </is>
      </c>
    </row>
    <row r="88">
      <c r="B88" t="inlineStr">
        <is>
          <t xml:space="preserve">    Fte Rate</t>
        </is>
      </c>
      <c r="C88">
        <f>'Model Inputs'!C71</f>
        <v/>
      </c>
      <c r="D88" s="35" t="inlineStr">
        <is>
          <t>USD/hour</t>
        </is>
      </c>
    </row>
    <row r="89">
      <c r="B89" s="3" t="inlineStr">
        <is>
          <t xml:space="preserve">    Baseline</t>
        </is>
      </c>
      <c r="C89" s="36">
        <f>C86 * C87 * C88</f>
        <v/>
      </c>
      <c r="D89" s="35" t="inlineStr">
        <is>
          <t>USD/year</t>
        </is>
      </c>
    </row>
    <row r="90">
      <c r="B90" s="3" t="inlineStr">
        <is>
          <t xml:space="preserve">    Backbase Impact</t>
        </is>
      </c>
      <c r="C90" s="37">
        <f>'Model Inputs'!C72</f>
        <v/>
      </c>
      <c r="D90" s="31" t="inlineStr">
        <is>
          <t>% of baseline captured by Backbase</t>
        </is>
      </c>
    </row>
    <row r="91">
      <c r="B91" s="38" t="inlineStr">
        <is>
          <t xml:space="preserve">    Annual Benefit</t>
        </is>
      </c>
      <c r="C91" s="39">
        <f>C89*C90</f>
        <v/>
      </c>
      <c r="D91" s="40" t="inlineStr">
        <is>
          <t>USD/year (scenario-adjusted)</t>
        </is>
      </c>
    </row>
    <row r="93">
      <c r="B93" s="41" t="inlineStr">
        <is>
          <t xml:space="preserve">  Internal Handoff Reduction</t>
        </is>
      </c>
      <c r="D93" s="31" t="inlineStr">
        <is>
          <t>Cost</t>
        </is>
      </c>
    </row>
    <row r="94">
      <c r="B94" s="16" t="inlineStr">
        <is>
          <t>Factor</t>
        </is>
      </c>
      <c r="C94" s="16" t="inlineStr">
        <is>
          <t>Value</t>
        </is>
      </c>
      <c r="D94" s="16" t="inlineStr">
        <is>
          <t>Unit</t>
        </is>
      </c>
    </row>
    <row r="95">
      <c r="B95" t="inlineStr">
        <is>
          <t xml:space="preserve">    Annual Applications</t>
        </is>
      </c>
      <c r="C95" s="34">
        <f>'Model Inputs'!C77</f>
        <v/>
      </c>
      <c r="D95" s="35" t="inlineStr">
        <is>
          <t>applications/year</t>
        </is>
      </c>
    </row>
    <row r="96">
      <c r="B96" t="inlineStr">
        <is>
          <t xml:space="preserve">    Handoffs Eliminated</t>
        </is>
      </c>
      <c r="C96">
        <f>'Model Inputs'!C78</f>
        <v/>
      </c>
      <c r="D96" s="35" t="inlineStr">
        <is>
          <t>handoffs</t>
        </is>
      </c>
    </row>
    <row r="97">
      <c r="B97" t="inlineStr">
        <is>
          <t xml:space="preserve">    Cost Per Handoff</t>
        </is>
      </c>
      <c r="C97">
        <f>'Model Inputs'!C79</f>
        <v/>
      </c>
      <c r="D97" s="35" t="inlineStr">
        <is>
          <t>USD</t>
        </is>
      </c>
    </row>
    <row r="98">
      <c r="B98" s="3" t="inlineStr">
        <is>
          <t xml:space="preserve">    Baseline</t>
        </is>
      </c>
      <c r="C98" s="36">
        <f>C95 * C96 * C97</f>
        <v/>
      </c>
      <c r="D98" s="35" t="inlineStr">
        <is>
          <t>USD/year</t>
        </is>
      </c>
    </row>
    <row r="99">
      <c r="B99" s="3" t="inlineStr">
        <is>
          <t xml:space="preserve">    Backbase Impact</t>
        </is>
      </c>
      <c r="C99" s="37">
        <f>'Model Inputs'!C80</f>
        <v/>
      </c>
      <c r="D99" s="31" t="inlineStr">
        <is>
          <t>% of baseline captured by Backbase</t>
        </is>
      </c>
    </row>
    <row r="100">
      <c r="B100" s="38" t="inlineStr">
        <is>
          <t xml:space="preserve">    Annual Benefit</t>
        </is>
      </c>
      <c r="C100" s="39">
        <f>C98*C99</f>
        <v/>
      </c>
      <c r="D100" s="40" t="inlineStr">
        <is>
          <t>USD/year (scenario-adjusted)</t>
        </is>
      </c>
    </row>
    <row r="103">
      <c r="B103" s="38" t="inlineStr">
        <is>
          <t>Total: L6: Back Office STP &amp; Workaround Elimination</t>
        </is>
      </c>
      <c r="C103" s="39">
        <f>C91+C100</f>
        <v/>
      </c>
    </row>
    <row r="106">
      <c r="B106" s="32" t="inlineStr">
        <is>
          <t>L7: Digital Lending Pre-Approved Origination</t>
        </is>
      </c>
    </row>
    <row r="107">
      <c r="B107" s="31" t="inlineStr">
        <is>
          <t>Evidence: E7</t>
        </is>
      </c>
    </row>
    <row r="108">
      <c r="B108" s="30" t="inlineStr">
        <is>
          <t>Revenue Generation</t>
        </is>
      </c>
    </row>
    <row r="109">
      <c r="B109" s="33" t="inlineStr">
        <is>
          <t xml:space="preserve">  Cross-Lending Origination (CLO) — Pre-Approved Digital Offers</t>
        </is>
      </c>
      <c r="D109" s="31" t="inlineStr">
        <is>
          <t>Revenue</t>
        </is>
      </c>
    </row>
    <row r="110">
      <c r="B110" s="16" t="inlineStr">
        <is>
          <t>Factor</t>
        </is>
      </c>
      <c r="C110" s="16" t="inlineStr">
        <is>
          <t>Value</t>
        </is>
      </c>
      <c r="D110" s="16" t="inlineStr">
        <is>
          <t>Unit</t>
        </is>
      </c>
    </row>
    <row r="111">
      <c r="B111" t="inlineStr">
        <is>
          <t xml:space="preserve">    Digitally Active Customers</t>
        </is>
      </c>
      <c r="C111" s="34">
        <f>'Model Inputs'!C87</f>
        <v/>
      </c>
      <c r="D111" s="35" t="inlineStr">
        <is>
          <t>customers</t>
        </is>
      </c>
    </row>
    <row r="112">
      <c r="B112" t="inlineStr">
        <is>
          <t xml:space="preserve">    Offer Acceptance Rate</t>
        </is>
      </c>
      <c r="C112">
        <f>'Model Inputs'!C88</f>
        <v/>
      </c>
      <c r="D112" s="35" t="inlineStr">
        <is>
          <t>ratio</t>
        </is>
      </c>
    </row>
    <row r="113">
      <c r="B113" t="inlineStr">
        <is>
          <t xml:space="preserve">    Annual Revenue Per New Loan</t>
        </is>
      </c>
      <c r="C113">
        <f>'Model Inputs'!C89</f>
        <v/>
      </c>
      <c r="D113" s="35" t="inlineStr">
        <is>
          <t>USD/year</t>
        </is>
      </c>
    </row>
    <row r="114">
      <c r="B114" s="3" t="inlineStr">
        <is>
          <t xml:space="preserve">    Baseline</t>
        </is>
      </c>
      <c r="C114" s="36">
        <f>C111 * C112 * C113</f>
        <v/>
      </c>
      <c r="D114" s="35" t="inlineStr">
        <is>
          <t>USD/year</t>
        </is>
      </c>
    </row>
    <row r="115">
      <c r="B115" s="3" t="inlineStr">
        <is>
          <t xml:space="preserve">    Backbase Impact</t>
        </is>
      </c>
      <c r="C115" s="37">
        <f>'Model Inputs'!C90</f>
        <v/>
      </c>
      <c r="D115" s="31" t="inlineStr">
        <is>
          <t>% of baseline captured by Backbase</t>
        </is>
      </c>
    </row>
    <row r="116">
      <c r="B116" s="38" t="inlineStr">
        <is>
          <t xml:space="preserve">    Annual Benefit</t>
        </is>
      </c>
      <c r="C116" s="39">
        <f>C114*C115</f>
        <v/>
      </c>
      <c r="D116" s="40" t="inlineStr">
        <is>
          <t>USD/year (scenario-adjusted)</t>
        </is>
      </c>
    </row>
    <row r="118">
      <c r="B118" s="33" t="inlineStr">
        <is>
          <t xml:space="preserve">  STP Rate Improvement — Faster Loan Processing</t>
        </is>
      </c>
      <c r="D118" s="31" t="inlineStr">
        <is>
          <t>Revenue</t>
        </is>
      </c>
    </row>
    <row r="119">
      <c r="B119" s="16" t="inlineStr">
        <is>
          <t>Factor</t>
        </is>
      </c>
      <c r="C119" s="16" t="inlineStr">
        <is>
          <t>Value</t>
        </is>
      </c>
      <c r="D119" s="16" t="inlineStr">
        <is>
          <t>Unit</t>
        </is>
      </c>
    </row>
    <row r="120">
      <c r="B120" t="inlineStr">
        <is>
          <t xml:space="preserve">    Current Approvals</t>
        </is>
      </c>
      <c r="C120" s="34">
        <f>'Model Inputs'!C95</f>
        <v/>
      </c>
      <c r="D120" s="35" t="inlineStr">
        <is>
          <t>loans/year</t>
        </is>
      </c>
    </row>
    <row r="121">
      <c r="B121" t="inlineStr">
        <is>
          <t xml:space="preserve">    Additional Approval Rate</t>
        </is>
      </c>
      <c r="C121">
        <f>'Model Inputs'!C96</f>
        <v/>
      </c>
      <c r="D121" s="35" t="inlineStr">
        <is>
          <t>ratio</t>
        </is>
      </c>
    </row>
    <row r="122">
      <c r="B122" t="inlineStr">
        <is>
          <t xml:space="preserve">    Revenue Per Loan</t>
        </is>
      </c>
      <c r="C122">
        <f>'Model Inputs'!C97</f>
        <v/>
      </c>
      <c r="D122" s="35" t="inlineStr">
        <is>
          <t>USD/year</t>
        </is>
      </c>
    </row>
    <row r="123">
      <c r="B123" s="3" t="inlineStr">
        <is>
          <t xml:space="preserve">    Baseline</t>
        </is>
      </c>
      <c r="C123" s="36">
        <f>C120 * C121 * C122</f>
        <v/>
      </c>
      <c r="D123" s="35" t="inlineStr">
        <is>
          <t>USD/year</t>
        </is>
      </c>
    </row>
    <row r="124">
      <c r="B124" s="3" t="inlineStr">
        <is>
          <t xml:space="preserve">    Backbase Impact</t>
        </is>
      </c>
      <c r="C124" s="37">
        <f>'Model Inputs'!C98</f>
        <v/>
      </c>
      <c r="D124" s="31" t="inlineStr">
        <is>
          <t>% of baseline captured by Backbase</t>
        </is>
      </c>
    </row>
    <row r="125">
      <c r="B125" s="38" t="inlineStr">
        <is>
          <t xml:space="preserve">    Annual Benefit</t>
        </is>
      </c>
      <c r="C125" s="39">
        <f>C123*C124</f>
        <v/>
      </c>
      <c r="D125" s="40" t="inlineStr">
        <is>
          <t>USD/year (scenario-adjusted)</t>
        </is>
      </c>
    </row>
    <row r="127">
      <c r="B127" s="29" t="inlineStr">
        <is>
          <t>Cost Reduction</t>
        </is>
      </c>
    </row>
    <row r="128">
      <c r="B128" s="41" t="inlineStr">
        <is>
          <t xml:space="preserve">  Digital Lending Process Cost Reduction</t>
        </is>
      </c>
      <c r="D128" s="31" t="inlineStr">
        <is>
          <t>Cost</t>
        </is>
      </c>
    </row>
    <row r="129">
      <c r="B129" s="16" t="inlineStr">
        <is>
          <t>Factor</t>
        </is>
      </c>
      <c r="C129" s="16" t="inlineStr">
        <is>
          <t>Value</t>
        </is>
      </c>
      <c r="D129" s="16" t="inlineStr">
        <is>
          <t>Unit</t>
        </is>
      </c>
    </row>
    <row r="130">
      <c r="B130" t="inlineStr">
        <is>
          <t xml:space="preserve">    Annual Applications</t>
        </is>
      </c>
      <c r="C130" s="34">
        <f>'Model Inputs'!C103</f>
        <v/>
      </c>
      <c r="D130" s="35" t="inlineStr">
        <is>
          <t>applications/year</t>
        </is>
      </c>
    </row>
    <row r="131">
      <c r="B131" t="inlineStr">
        <is>
          <t xml:space="preserve">    Time Saved Hours</t>
        </is>
      </c>
      <c r="C131">
        <f>'Model Inputs'!C104</f>
        <v/>
      </c>
      <c r="D131" s="35" t="inlineStr">
        <is>
          <t>hours</t>
        </is>
      </c>
    </row>
    <row r="132">
      <c r="B132" t="inlineStr">
        <is>
          <t xml:space="preserve">    Fte Rate</t>
        </is>
      </c>
      <c r="C132">
        <f>'Model Inputs'!C105</f>
        <v/>
      </c>
      <c r="D132" s="35" t="inlineStr">
        <is>
          <t>USD/hour</t>
        </is>
      </c>
    </row>
    <row r="133">
      <c r="B133" s="3" t="inlineStr">
        <is>
          <t xml:space="preserve">    Baseline</t>
        </is>
      </c>
      <c r="C133" s="36">
        <f>C130 * C131 * C132</f>
        <v/>
      </c>
      <c r="D133" s="35" t="inlineStr">
        <is>
          <t>USD/year</t>
        </is>
      </c>
    </row>
    <row r="134">
      <c r="B134" s="3" t="inlineStr">
        <is>
          <t xml:space="preserve">    Backbase Impact</t>
        </is>
      </c>
      <c r="C134" s="37">
        <f>'Model Inputs'!C106</f>
        <v/>
      </c>
      <c r="D134" s="31" t="inlineStr">
        <is>
          <t>% of baseline captured by Backbase</t>
        </is>
      </c>
    </row>
    <row r="135">
      <c r="B135" s="38" t="inlineStr">
        <is>
          <t xml:space="preserve">    Annual Benefit</t>
        </is>
      </c>
      <c r="C135" s="39">
        <f>C133*C134</f>
        <v/>
      </c>
      <c r="D135" s="40" t="inlineStr">
        <is>
          <t>USD/year (scenario-adjusted)</t>
        </is>
      </c>
    </row>
    <row r="138">
      <c r="B138" s="38" t="inlineStr">
        <is>
          <t>Total: L7: Digital Lending Pre-Approved Origination</t>
        </is>
      </c>
      <c r="C138" s="39">
        <f>C116+C125+C135</f>
        <v/>
      </c>
    </row>
    <row r="141">
      <c r="B141" s="32" t="inlineStr">
        <is>
          <t>Loyalty, Retention &amp; Product Penetration</t>
        </is>
      </c>
    </row>
    <row r="142">
      <c r="B142" s="31" t="inlineStr">
        <is>
          <t>Evidence: SB-DR-Q5, SB-DR-Q6</t>
        </is>
      </c>
    </row>
    <row r="143">
      <c r="B143" s="30" t="inlineStr">
        <is>
          <t>Revenue Generation</t>
        </is>
      </c>
    </row>
    <row r="144">
      <c r="B144" s="33" t="inlineStr">
        <is>
          <t xml:space="preserve">  Customer Churn Reduction via Digital Engagement</t>
        </is>
      </c>
      <c r="D144" s="31" t="inlineStr">
        <is>
          <t>Revenue</t>
        </is>
      </c>
    </row>
    <row r="145">
      <c r="B145" s="16" t="inlineStr">
        <is>
          <t>Factor</t>
        </is>
      </c>
      <c r="C145" s="16" t="inlineStr">
        <is>
          <t>Value</t>
        </is>
      </c>
      <c r="D145" s="16" t="inlineStr">
        <is>
          <t>Unit</t>
        </is>
      </c>
    </row>
    <row r="146">
      <c r="B146" t="inlineStr">
        <is>
          <t xml:space="preserve">    Total Customers</t>
        </is>
      </c>
      <c r="C146" s="34">
        <f>'Model Inputs'!C113</f>
        <v/>
      </c>
      <c r="D146" s="35" t="inlineStr">
        <is>
          <t>customers</t>
        </is>
      </c>
    </row>
    <row r="147">
      <c r="B147" t="inlineStr">
        <is>
          <t xml:space="preserve">    Current Churn</t>
        </is>
      </c>
      <c r="C147">
        <f>'Model Inputs'!C114</f>
        <v/>
      </c>
      <c r="D147" s="35" t="inlineStr">
        <is>
          <t>ratio</t>
        </is>
      </c>
    </row>
    <row r="148">
      <c r="B148" t="inlineStr">
        <is>
          <t xml:space="preserve">    Churn Reduction Rate</t>
        </is>
      </c>
      <c r="C148">
        <f>'Model Inputs'!C115</f>
        <v/>
      </c>
      <c r="D148" s="35" t="inlineStr">
        <is>
          <t>ratio</t>
        </is>
      </c>
    </row>
    <row r="149">
      <c r="B149" t="inlineStr">
        <is>
          <t xml:space="preserve">    Revenue Per Customer</t>
        </is>
      </c>
      <c r="C149">
        <f>'Model Inputs'!C116</f>
        <v/>
      </c>
      <c r="D149" s="35" t="inlineStr">
        <is>
          <t>USD/year</t>
        </is>
      </c>
    </row>
    <row r="150">
      <c r="B150" s="3" t="inlineStr">
        <is>
          <t xml:space="preserve">    Baseline</t>
        </is>
      </c>
      <c r="C150" s="36">
        <f>C146 * C147 * C149</f>
        <v/>
      </c>
      <c r="D150" s="35" t="inlineStr">
        <is>
          <t>USD/year</t>
        </is>
      </c>
    </row>
    <row r="151">
      <c r="B151" s="3" t="inlineStr">
        <is>
          <t xml:space="preserve">    Backbase Impact</t>
        </is>
      </c>
      <c r="C151" s="37">
        <f>'Model Inputs'!C117</f>
        <v/>
      </c>
      <c r="D151" s="31" t="inlineStr">
        <is>
          <t>% of baseline captured by Backbase</t>
        </is>
      </c>
    </row>
    <row r="152">
      <c r="B152" s="38" t="inlineStr">
        <is>
          <t xml:space="preserve">    Annual Benefit</t>
        </is>
      </c>
      <c r="C152" s="39">
        <f>C150*C151</f>
        <v/>
      </c>
      <c r="D152" s="40" t="inlineStr">
        <is>
          <t>USD/year (scenario-adjusted)</t>
        </is>
      </c>
    </row>
    <row r="154">
      <c r="B154" s="33" t="inlineStr">
        <is>
          <t xml:space="preserve">  Product Penetration Uplift via Digital Cross-Sell</t>
        </is>
      </c>
      <c r="D154" s="31" t="inlineStr">
        <is>
          <t>Revenue</t>
        </is>
      </c>
    </row>
    <row r="155">
      <c r="B155" s="16" t="inlineStr">
        <is>
          <t>Factor</t>
        </is>
      </c>
      <c r="C155" s="16" t="inlineStr">
        <is>
          <t>Value</t>
        </is>
      </c>
      <c r="D155" s="16" t="inlineStr">
        <is>
          <t>Unit</t>
        </is>
      </c>
    </row>
    <row r="156">
      <c r="B156" t="inlineStr">
        <is>
          <t xml:space="preserve">    Digitally Active Base</t>
        </is>
      </c>
      <c r="C156" s="34">
        <f>'Model Inputs'!C122</f>
        <v/>
      </c>
      <c r="D156" s="35" t="inlineStr">
        <is>
          <t>customers</t>
        </is>
      </c>
    </row>
    <row r="157">
      <c r="B157" t="inlineStr">
        <is>
          <t xml:space="preserve">    Incremental Products</t>
        </is>
      </c>
      <c r="C157">
        <f>'Model Inputs'!C123</f>
        <v/>
      </c>
      <c r="D157" s="35" t="inlineStr">
        <is>
          <t>products per customer</t>
        </is>
      </c>
    </row>
    <row r="158">
      <c r="B158" t="inlineStr">
        <is>
          <t xml:space="preserve">    Revenue Per Product</t>
        </is>
      </c>
      <c r="C158">
        <f>'Model Inputs'!C124</f>
        <v/>
      </c>
      <c r="D158" s="35" t="inlineStr">
        <is>
          <t>USD/year</t>
        </is>
      </c>
    </row>
    <row r="159">
      <c r="B159" s="3" t="inlineStr">
        <is>
          <t xml:space="preserve">    Baseline</t>
        </is>
      </c>
      <c r="C159" s="36">
        <f>C156 * C157 * C158</f>
        <v/>
      </c>
      <c r="D159" s="35" t="inlineStr">
        <is>
          <t>USD/year</t>
        </is>
      </c>
    </row>
    <row r="160">
      <c r="B160" s="3" t="inlineStr">
        <is>
          <t xml:space="preserve">    Backbase Impact</t>
        </is>
      </c>
      <c r="C160" s="37">
        <f>'Model Inputs'!C125</f>
        <v/>
      </c>
      <c r="D160" s="31" t="inlineStr">
        <is>
          <t>% of baseline captured by Backbase</t>
        </is>
      </c>
    </row>
    <row r="161">
      <c r="B161" s="38" t="inlineStr">
        <is>
          <t xml:space="preserve">    Annual Benefit</t>
        </is>
      </c>
      <c r="C161" s="39">
        <f>C159*C160</f>
        <v/>
      </c>
      <c r="D161" s="40" t="inlineStr">
        <is>
          <t>USD/year (scenario-adjusted)</t>
        </is>
      </c>
    </row>
    <row r="164">
      <c r="B164" s="38" t="inlineStr">
        <is>
          <t>Total: Loyalty, Retention &amp; Product Penetration</t>
        </is>
      </c>
      <c r="C164" s="39">
        <f>C152+C161</f>
        <v/>
      </c>
    </row>
    <row r="167">
      <c r="B167" s="21" t="inlineStr">
        <is>
          <t>GRAND TOTAL — ALL LEVERS</t>
        </is>
      </c>
    </row>
    <row r="168">
      <c r="B168" s="16" t="inlineStr"/>
      <c r="C168" s="16" t="inlineStr">
        <is>
          <t>Annual Benefit</t>
        </is>
      </c>
      <c r="D168" s="16" t="inlineStr"/>
    </row>
    <row r="169">
      <c r="B169" s="4" t="inlineStr">
        <is>
          <t>Total Annual Benefit (Scenario-Adjusted, Steady State)</t>
        </is>
      </c>
      <c r="C169" s="42">
        <f>C30+C46+C54+C62+C78+C103+C138+C164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6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>
      <c r="B1" s="9" t="inlineStr">
        <is>
          <t>Customer Servicing — Channel Analysis</t>
        </is>
      </c>
    </row>
    <row r="3">
      <c r="B3" s="12" t="inlineStr">
        <is>
          <t>Vol Saving = Baseline × Vol Deflection. Time Saving = Remaining Vol × Time × Time Reduction × Rate. Total = Vol + Time Saving.</t>
        </is>
      </c>
    </row>
    <row r="5">
      <c r="B5" s="16" t="inlineStr">
        <is>
          <t>Task</t>
        </is>
      </c>
      <c r="C5" s="16" t="inlineStr">
        <is>
          <t>Volume</t>
        </is>
      </c>
      <c r="D5" s="16" t="inlineStr">
        <is>
          <t>Time (hrs)</t>
        </is>
      </c>
      <c r="E5" s="16" t="inlineStr">
        <is>
          <t>Rate</t>
        </is>
      </c>
      <c r="F5" s="16" t="inlineStr">
        <is>
          <t>Baseline</t>
        </is>
      </c>
      <c r="G5" s="16" t="inlineStr">
        <is>
          <t>Vol Deflection</t>
        </is>
      </c>
      <c r="H5" s="16" t="inlineStr">
        <is>
          <t>Time Reduction</t>
        </is>
      </c>
      <c r="I5" s="16" t="inlineStr">
        <is>
          <t>Vol Saving</t>
        </is>
      </c>
      <c r="J5" s="16" t="inlineStr">
        <is>
          <t>Time Saving</t>
        </is>
      </c>
      <c r="K5" s="16" t="inlineStr">
        <is>
          <t>Total Saved</t>
        </is>
      </c>
      <c r="L5" s="16" t="inlineStr">
        <is>
          <t>Source</t>
        </is>
      </c>
    </row>
    <row r="6">
      <c r="B6" s="43" t="inlineStr">
        <is>
          <t>Evidence: E4, E5</t>
        </is>
      </c>
    </row>
    <row r="8">
      <c r="B8" s="13" t="inlineStr">
        <is>
          <t>Call Center</t>
        </is>
      </c>
    </row>
    <row r="9">
      <c r="B9" t="inlineStr">
        <is>
          <t>Accounts &amp; Balance Inquiries</t>
        </is>
      </c>
      <c r="C9" s="44" t="n">
        <v>18720</v>
      </c>
      <c r="D9" s="45" t="n">
        <v>0.05</v>
      </c>
      <c r="E9" s="46" t="n">
        <v>7.83</v>
      </c>
      <c r="F9" s="18">
        <f>C9*D9*E9</f>
        <v/>
      </c>
      <c r="G9" s="47" t="n">
        <v>0.7</v>
      </c>
      <c r="H9" s="47" t="n">
        <v>0.2</v>
      </c>
      <c r="I9" s="48">
        <f>F9*G9</f>
        <v/>
      </c>
      <c r="J9" s="48">
        <f>C9*(1-G9)*D9*H9*E9</f>
        <v/>
      </c>
      <c r="K9" s="49">
        <f>I9+J9</f>
        <v/>
      </c>
      <c r="L9" s="50" t="inlineStr">
        <is>
          <t>CLIENT DATA — 1,560/month x 12. Routine balance checks.</t>
        </is>
      </c>
    </row>
    <row r="10">
      <c r="B10" t="inlineStr">
        <is>
          <t>Card Services (Block/PIN/Limit)</t>
        </is>
      </c>
      <c r="C10" s="44" t="n">
        <v>8160</v>
      </c>
      <c r="D10" s="45" t="n">
        <v>0.05</v>
      </c>
      <c r="E10" s="46" t="n">
        <v>7.83</v>
      </c>
      <c r="F10" s="18">
        <f>C10*D10*E10</f>
        <v/>
      </c>
      <c r="G10" s="47" t="n">
        <v>0.5</v>
      </c>
      <c r="H10" s="47" t="n">
        <v>0.15</v>
      </c>
      <c r="I10" s="48">
        <f>F10*G10</f>
        <v/>
      </c>
      <c r="J10" s="48">
        <f>C10*(1-G10)*D10*H10*E10</f>
        <v/>
      </c>
      <c r="K10" s="49">
        <f>I10+J10</f>
        <v/>
      </c>
      <c r="L10" s="50" t="inlineStr">
        <is>
          <t>CLIENT DATA — (440+120+120)/month x 12 = 8,160/yr.</t>
        </is>
      </c>
    </row>
    <row r="11">
      <c r="B11" t="inlineStr">
        <is>
          <t>Transaction Disputes</t>
        </is>
      </c>
      <c r="C11" s="44" t="n">
        <v>4800</v>
      </c>
      <c r="D11" s="45" t="n">
        <v>0.05</v>
      </c>
      <c r="E11" s="46" t="n">
        <v>7.83</v>
      </c>
      <c r="F11" s="18">
        <f>C11*D11*E11</f>
        <v/>
      </c>
      <c r="G11" s="47" t="n">
        <v>0.15</v>
      </c>
      <c r="H11" s="47" t="n">
        <v>0.2</v>
      </c>
      <c r="I11" s="48">
        <f>F11*G11</f>
        <v/>
      </c>
      <c r="J11" s="48">
        <f>C11*(1-G11)*D11*H11*E11</f>
        <v/>
      </c>
      <c r="K11" s="49">
        <f>I11+J11</f>
        <v/>
      </c>
      <c r="L11" s="50" t="inlineStr">
        <is>
          <t>CLIENT DATA — 400/month x 12 = 4,800/yr.</t>
        </is>
      </c>
    </row>
    <row r="12">
      <c r="B12" t="inlineStr">
        <is>
          <t>Loan Servicing Inquiries</t>
        </is>
      </c>
      <c r="C12" s="44" t="n">
        <v>14040</v>
      </c>
      <c r="D12" s="45" t="n">
        <v>0.05</v>
      </c>
      <c r="E12" s="46" t="n">
        <v>7.83</v>
      </c>
      <c r="F12" s="18">
        <f>C12*D12*E12</f>
        <v/>
      </c>
      <c r="G12" s="47" t="n">
        <v>0.4</v>
      </c>
      <c r="H12" s="47" t="n">
        <v>0.2</v>
      </c>
      <c r="I12" s="48">
        <f>F12*G12</f>
        <v/>
      </c>
      <c r="J12" s="48">
        <f>C12*(1-G12)*D12*H12*E12</f>
        <v/>
      </c>
      <c r="K12" s="49">
        <f>I12+J12</f>
        <v/>
      </c>
      <c r="L12" s="50" t="inlineStr">
        <is>
          <t>CLIENT DATA — 1,170/month x 12 = 14,040/yr.</t>
        </is>
      </c>
    </row>
    <row r="13">
      <c r="B13" t="inlineStr">
        <is>
          <t>Credit Card Info &amp; Servicing</t>
        </is>
      </c>
      <c r="C13" s="44" t="n">
        <v>14400</v>
      </c>
      <c r="D13" s="45" t="n">
        <v>0.05</v>
      </c>
      <c r="E13" s="46" t="n">
        <v>7.83</v>
      </c>
      <c r="F13" s="18">
        <f>C13*D13*E13</f>
        <v/>
      </c>
      <c r="G13" s="47" t="n">
        <v>0.6</v>
      </c>
      <c r="H13" s="47" t="n">
        <v>0.2</v>
      </c>
      <c r="I13" s="48">
        <f>F13*G13</f>
        <v/>
      </c>
      <c r="J13" s="48">
        <f>C13*(1-G13)*D13*H13*E13</f>
        <v/>
      </c>
      <c r="K13" s="49">
        <f>I13+J13</f>
        <v/>
      </c>
      <c r="L13" s="50" t="inlineStr">
        <is>
          <t>CLIENT DATA — 1,200/month x 12 = 14,400/yr.</t>
        </is>
      </c>
    </row>
    <row r="14">
      <c r="B14" t="inlineStr">
        <is>
          <t>Domestic Transfers (Call Center)</t>
        </is>
      </c>
      <c r="C14" s="44" t="n">
        <v>11280</v>
      </c>
      <c r="D14" s="45" t="n">
        <v>0.05</v>
      </c>
      <c r="E14" s="46" t="n">
        <v>7.83</v>
      </c>
      <c r="F14" s="18">
        <f>C14*D14*E14</f>
        <v/>
      </c>
      <c r="G14" s="47" t="n">
        <v>0.65</v>
      </c>
      <c r="H14" s="47" t="n">
        <v>0.15</v>
      </c>
      <c r="I14" s="48">
        <f>F14*G14</f>
        <v/>
      </c>
      <c r="J14" s="48">
        <f>C14*(1-G14)*D14*H14*E14</f>
        <v/>
      </c>
      <c r="K14" s="49">
        <f>I14+J14</f>
        <v/>
      </c>
      <c r="L14" s="50" t="inlineStr">
        <is>
          <t>CLIENT DATA — 940/month x 12 = 11,280/yr.</t>
        </is>
      </c>
    </row>
    <row r="15">
      <c r="B15" t="inlineStr">
        <is>
          <t>Deposit &amp; Other Product Enquiries</t>
        </is>
      </c>
      <c r="C15" s="44" t="n">
        <v>3480</v>
      </c>
      <c r="D15" s="45" t="n">
        <v>0.05</v>
      </c>
      <c r="E15" s="46" t="n">
        <v>7.83</v>
      </c>
      <c r="F15" s="18">
        <f>C15*D15*E15</f>
        <v/>
      </c>
      <c r="G15" s="47" t="n">
        <v>0.45</v>
      </c>
      <c r="H15" s="47" t="n">
        <v>0.15</v>
      </c>
      <c r="I15" s="48">
        <f>F15*G15</f>
        <v/>
      </c>
      <c r="J15" s="48">
        <f>C15*(1-G15)*D15*H15*E15</f>
        <v/>
      </c>
      <c r="K15" s="49">
        <f>I15+J15</f>
        <v/>
      </c>
      <c r="L15" s="50" t="inlineStr">
        <is>
          <t>CLIENT DATA — (150+140)/month x 12 = 3,480/yr.</t>
        </is>
      </c>
    </row>
    <row r="16">
      <c r="B16" s="3" t="inlineStr">
        <is>
          <t>Call Center Subtotal</t>
        </is>
      </c>
      <c r="C16" s="36">
        <f>SUM(C9:C15)</f>
        <v/>
      </c>
      <c r="F16" s="19">
        <f>SUM(F9:F15)</f>
        <v/>
      </c>
      <c r="I16" s="19">
        <f>SUM(I9:I15)</f>
        <v/>
      </c>
      <c r="J16" s="19">
        <f>SUM(J9:J15)</f>
        <v/>
      </c>
      <c r="K16" s="49">
        <f>SUM(K9:K15)</f>
        <v/>
      </c>
    </row>
    <row r="18">
      <c r="B18" s="4" t="inlineStr">
        <is>
          <t>TOTAL SERVICING SAVINGS</t>
        </is>
      </c>
      <c r="F18" s="51">
        <f>SUM(F16)</f>
        <v/>
      </c>
      <c r="I18" s="51">
        <f>I16</f>
        <v/>
      </c>
      <c r="J18" s="51">
        <f>J16</f>
        <v/>
      </c>
      <c r="K18" s="52">
        <f>K16</f>
        <v/>
      </c>
    </row>
    <row r="21">
      <c r="B21" s="23" t="inlineStr">
        <is>
          <t>GROWTH-ADJUSTED COST AVOIDANCE</t>
        </is>
      </c>
    </row>
    <row r="22">
      <c r="B22" s="12" t="inlineStr">
        <is>
          <t>Projecting volume growth at 8%/year — staff NOT needed due to digital handling</t>
        </is>
      </c>
    </row>
    <row r="24">
      <c r="B24" t="inlineStr">
        <is>
          <t>YoY Growth Rate</t>
        </is>
      </c>
      <c r="C24" s="53" t="n">
        <v>0.08</v>
      </c>
    </row>
    <row r="25">
      <c r="B25" t="inlineStr">
        <is>
          <t>Annual Hrs per FTE</t>
        </is>
      </c>
      <c r="C25" s="44" t="n">
        <v>1800</v>
      </c>
    </row>
    <row r="26">
      <c r="B26" t="inlineStr">
        <is>
          <t>Loaded Annual FTE Cost</t>
        </is>
      </c>
      <c r="C26" s="46" t="n">
        <v>55000</v>
      </c>
    </row>
    <row r="27">
      <c r="B27" t="inlineStr">
        <is>
          <t>Weighted Avg Time/Interaction (hrs)</t>
        </is>
      </c>
      <c r="C27" s="54" t="n">
        <v>0.08400000000000001</v>
      </c>
    </row>
    <row r="28">
      <c r="B28" t="inlineStr">
        <is>
          <t>Weighted Avg Combined Impact</t>
        </is>
      </c>
      <c r="C28" s="24" t="n">
        <v>0.337</v>
      </c>
    </row>
    <row r="30">
      <c r="B30" s="16" t="inlineStr">
        <is>
          <t>Metric</t>
        </is>
      </c>
      <c r="C30" s="16" t="inlineStr">
        <is>
          <t>Y1</t>
        </is>
      </c>
      <c r="D30" s="16" t="inlineStr">
        <is>
          <t>Y2</t>
        </is>
      </c>
      <c r="E30" s="16" t="inlineStr">
        <is>
          <t>Y3</t>
        </is>
      </c>
      <c r="F30" s="16" t="inlineStr">
        <is>
          <t>Y4</t>
        </is>
      </c>
      <c r="G30" s="16" t="inlineStr">
        <is>
          <t>Y5</t>
        </is>
      </c>
    </row>
    <row r="31">
      <c r="B31" t="inlineStr">
        <is>
          <t>Base Volume (current)</t>
        </is>
      </c>
      <c r="C31" s="34">
        <f>C16</f>
        <v/>
      </c>
      <c r="D31" s="34">
        <f>C31</f>
        <v/>
      </c>
      <c r="E31" s="34">
        <f>C31</f>
        <v/>
      </c>
      <c r="F31" s="34">
        <f>C31</f>
        <v/>
      </c>
      <c r="G31" s="34">
        <f>C31</f>
        <v/>
      </c>
    </row>
    <row r="32">
      <c r="B32" t="inlineStr">
        <is>
          <t>Growth Volume (incremental)</t>
        </is>
      </c>
      <c r="C32" s="34">
        <f>C31*((1+C24)^1-1)</f>
        <v/>
      </c>
      <c r="D32" s="34">
        <f>C31*((1+C24)^2-1)</f>
        <v/>
      </c>
      <c r="E32" s="34">
        <f>C31*((1+C24)^3-1)</f>
        <v/>
      </c>
      <c r="F32" s="34">
        <f>C31*((1+C24)^4-1)</f>
        <v/>
      </c>
      <c r="G32" s="34">
        <f>C31*((1+C24)^5-1)</f>
        <v/>
      </c>
    </row>
    <row r="33">
      <c r="B33" t="inlineStr">
        <is>
          <t>Handled Digitally</t>
        </is>
      </c>
      <c r="C33" s="34">
        <f>C32*C28</f>
        <v/>
      </c>
      <c r="D33" s="34">
        <f>D32*C28</f>
        <v/>
      </c>
      <c r="E33" s="34">
        <f>E32*C28</f>
        <v/>
      </c>
      <c r="F33" s="34">
        <f>F32*C28</f>
        <v/>
      </c>
      <c r="G33" s="34">
        <f>G32*C28</f>
        <v/>
      </c>
    </row>
    <row r="34">
      <c r="B34" t="inlineStr">
        <is>
          <t>FTEs Avoided</t>
        </is>
      </c>
      <c r="C34" s="55">
        <f>C33*C27/C25</f>
        <v/>
      </c>
      <c r="D34" s="55">
        <f>D33*C27/C25</f>
        <v/>
      </c>
      <c r="E34" s="55">
        <f>E33*C27/C25</f>
        <v/>
      </c>
      <c r="F34" s="55">
        <f>F33*C27/C25</f>
        <v/>
      </c>
      <c r="G34" s="55">
        <f>G33*C27/C25</f>
        <v/>
      </c>
    </row>
    <row r="35">
      <c r="B35" s="43" t="inlineStr">
        <is>
          <t>Evidence: E4, E5, E6</t>
        </is>
      </c>
      <c r="C35" s="49">
        <f>C34*C26</f>
        <v/>
      </c>
      <c r="D35" s="49">
        <f>D34*C26</f>
        <v/>
      </c>
      <c r="E35" s="49">
        <f>E34*C26</f>
        <v/>
      </c>
      <c r="F35" s="49">
        <f>F34*C26</f>
        <v/>
      </c>
      <c r="G35" s="49">
        <f>G34*C26</f>
        <v/>
      </c>
    </row>
    <row r="37">
      <c r="B37" s="13" t="inlineStr">
        <is>
          <t>Branch Transactions</t>
        </is>
      </c>
    </row>
    <row r="38">
      <c r="B38" t="inlineStr">
        <is>
          <t>Domestic Transfers (Branch)</t>
        </is>
      </c>
      <c r="C38" s="44" t="n">
        <v>1783836</v>
      </c>
      <c r="D38" s="45" t="n">
        <v>0.083</v>
      </c>
      <c r="E38" s="46" t="n">
        <v>7.83</v>
      </c>
      <c r="F38" s="18">
        <f>C38*D38*E38</f>
        <v/>
      </c>
      <c r="G38" s="53" t="n">
        <v>0.2</v>
      </c>
      <c r="H38" s="53" t="n">
        <v>0.15</v>
      </c>
      <c r="I38" s="48">
        <f>F38*G38</f>
        <v/>
      </c>
      <c r="J38" s="48">
        <f>C38*(1-G38)*D38*H38*E38</f>
        <v/>
      </c>
      <c r="K38" s="49">
        <f>I38+J38</f>
        <v/>
      </c>
      <c r="L38" s="50" t="inlineStr">
        <is>
          <t>CLIENT DATA — 148,653/month x 12 = 1,783,836/yr.</t>
        </is>
      </c>
    </row>
    <row r="39">
      <c r="B39" t="inlineStr">
        <is>
          <t>International Transfers (Branch)</t>
        </is>
      </c>
      <c r="C39" s="44" t="n">
        <v>5544</v>
      </c>
      <c r="D39" s="45" t="n">
        <v>0.5</v>
      </c>
      <c r="E39" s="46" t="n">
        <v>7.83</v>
      </c>
      <c r="F39" s="18">
        <f>C39*D39*E39</f>
        <v/>
      </c>
      <c r="G39" s="47" t="n">
        <v>0.1</v>
      </c>
      <c r="H39" s="47" t="n">
        <v>0.15</v>
      </c>
      <c r="I39" s="48">
        <f>F39*G39</f>
        <v/>
      </c>
      <c r="J39" s="48">
        <f>C39*(1-G39)*D39*H39*E39</f>
        <v/>
      </c>
      <c r="K39" s="49">
        <f>I39+J39</f>
        <v/>
      </c>
      <c r="L39" s="50" t="inlineStr">
        <is>
          <t>CLIENT DATA — 462/month x 12 = 5,544/yr. TAT: 30 min branch.</t>
        </is>
      </c>
    </row>
    <row r="40">
      <c r="B40" t="inlineStr">
        <is>
          <t>Bill Payments (Branch)</t>
        </is>
      </c>
      <c r="C40" s="44" t="n">
        <v>14976</v>
      </c>
      <c r="D40" s="45" t="n">
        <v>0.083</v>
      </c>
      <c r="E40" s="46" t="n">
        <v>7.83</v>
      </c>
      <c r="F40" s="18">
        <f>C40*D40*E40</f>
        <v/>
      </c>
      <c r="G40" s="47" t="n">
        <v>0.5</v>
      </c>
      <c r="H40" s="47" t="n">
        <v>0.2</v>
      </c>
      <c r="I40" s="48">
        <f>F40*G40</f>
        <v/>
      </c>
      <c r="J40" s="48">
        <f>C40*(1-G40)*D40*H40*E40</f>
        <v/>
      </c>
      <c r="K40" s="49">
        <f>I40+J40</f>
        <v/>
      </c>
      <c r="L40" s="50" t="inlineStr">
        <is>
          <t>CLIENT DATA — 1,248/month x 12 = 14,976/yr.</t>
        </is>
      </c>
    </row>
    <row r="41">
      <c r="B41" t="inlineStr">
        <is>
          <t>Debit Card Ordering (Branch)</t>
        </is>
      </c>
      <c r="C41" s="44" t="n">
        <v>37512</v>
      </c>
      <c r="D41" s="45" t="n">
        <v>0.133</v>
      </c>
      <c r="E41" s="46" t="n">
        <v>7.83</v>
      </c>
      <c r="F41" s="18">
        <f>C41*D41*E41</f>
        <v/>
      </c>
      <c r="G41" s="47" t="n">
        <v>0.35</v>
      </c>
      <c r="H41" s="47" t="n">
        <v>0.2</v>
      </c>
      <c r="I41" s="48">
        <f>F41*G41</f>
        <v/>
      </c>
      <c r="J41" s="48">
        <f>C41*(1-G41)*D41*H41*E41</f>
        <v/>
      </c>
      <c r="K41" s="49">
        <f>I41+J41</f>
        <v/>
      </c>
      <c r="L41" s="50" t="inlineStr">
        <is>
          <t>CLIENT DATA — 3,126/month x 12 = 37,512/yr.</t>
        </is>
      </c>
    </row>
    <row r="42">
      <c r="B42" s="3" t="inlineStr">
        <is>
          <t>Branch Transactions Subtotal</t>
        </is>
      </c>
      <c r="C42" s="36">
        <f>SUM(C38:C41)</f>
        <v/>
      </c>
      <c r="F42" s="19">
        <f>SUM(F38:F41)</f>
        <v/>
      </c>
      <c r="I42" s="19">
        <f>SUM(I38:I41)</f>
        <v/>
      </c>
      <c r="J42" s="19">
        <f>SUM(J38:J41)</f>
        <v/>
      </c>
      <c r="K42" s="49">
        <f>SUM(K38:K41)</f>
        <v/>
      </c>
    </row>
    <row r="44">
      <c r="B44" s="4" t="inlineStr">
        <is>
          <t>TOTAL SERVICING SAVINGS</t>
        </is>
      </c>
      <c r="F44" s="51">
        <f>SUM(F42)</f>
        <v/>
      </c>
      <c r="I44" s="51">
        <f>I42</f>
        <v/>
      </c>
      <c r="J44" s="51">
        <f>J42</f>
        <v/>
      </c>
      <c r="K44" s="52">
        <f>K42</f>
        <v/>
      </c>
    </row>
    <row r="47">
      <c r="B47" s="23" t="inlineStr">
        <is>
          <t>GROWTH-ADJUSTED COST AVOIDANCE</t>
        </is>
      </c>
    </row>
    <row r="48">
      <c r="B48" s="12" t="inlineStr">
        <is>
          <t>Projecting volume growth at 8%/year — staff NOT needed due to digital handling</t>
        </is>
      </c>
    </row>
    <row r="50">
      <c r="B50" t="inlineStr">
        <is>
          <t>YoY Growth Rate</t>
        </is>
      </c>
      <c r="C50" s="53" t="n">
        <v>0.08</v>
      </c>
    </row>
    <row r="51">
      <c r="B51" t="inlineStr">
        <is>
          <t>Annual Hrs per FTE</t>
        </is>
      </c>
      <c r="C51" s="44" t="n">
        <v>1800</v>
      </c>
    </row>
    <row r="52">
      <c r="B52" t="inlineStr">
        <is>
          <t>Loaded Annual FTE Cost</t>
        </is>
      </c>
      <c r="C52" s="46" t="n">
        <v>55000</v>
      </c>
    </row>
    <row r="53">
      <c r="B53" t="inlineStr">
        <is>
          <t>Weighted Avg Time/Interaction (hrs)</t>
        </is>
      </c>
      <c r="C53" s="54" t="n">
        <v>0.08400000000000001</v>
      </c>
    </row>
    <row r="54">
      <c r="B54" t="inlineStr">
        <is>
          <t>Weighted Avg Combined Impact</t>
        </is>
      </c>
      <c r="C54" s="24" t="n">
        <v>0.337</v>
      </c>
    </row>
    <row r="56">
      <c r="B56" s="16" t="inlineStr">
        <is>
          <t>Metric</t>
        </is>
      </c>
      <c r="C56" s="16" t="inlineStr">
        <is>
          <t>Y1</t>
        </is>
      </c>
      <c r="D56" s="16" t="inlineStr">
        <is>
          <t>Y2</t>
        </is>
      </c>
      <c r="E56" s="16" t="inlineStr">
        <is>
          <t>Y3</t>
        </is>
      </c>
      <c r="F56" s="16" t="inlineStr">
        <is>
          <t>Y4</t>
        </is>
      </c>
      <c r="G56" s="16" t="inlineStr">
        <is>
          <t>Y5</t>
        </is>
      </c>
    </row>
    <row r="57">
      <c r="B57" t="inlineStr">
        <is>
          <t>Base Volume (current)</t>
        </is>
      </c>
      <c r="C57" s="34">
        <f>C42</f>
        <v/>
      </c>
      <c r="D57" s="34">
        <f>C57</f>
        <v/>
      </c>
      <c r="E57" s="34">
        <f>C57</f>
        <v/>
      </c>
      <c r="F57" s="34">
        <f>C57</f>
        <v/>
      </c>
      <c r="G57" s="34">
        <f>C57</f>
        <v/>
      </c>
    </row>
    <row r="58">
      <c r="B58" t="inlineStr">
        <is>
          <t>Growth Volume (incremental)</t>
        </is>
      </c>
      <c r="C58" s="34">
        <f>C57*((1+C50)^1-1)</f>
        <v/>
      </c>
      <c r="D58" s="34">
        <f>C57*((1+C50)^2-1)</f>
        <v/>
      </c>
      <c r="E58" s="34">
        <f>C57*((1+C50)^3-1)</f>
        <v/>
      </c>
      <c r="F58" s="34">
        <f>C57*((1+C50)^4-1)</f>
        <v/>
      </c>
      <c r="G58" s="34">
        <f>C57*((1+C50)^5-1)</f>
        <v/>
      </c>
    </row>
    <row r="59">
      <c r="B59" t="inlineStr">
        <is>
          <t>Handled Digitally</t>
        </is>
      </c>
      <c r="C59" s="34">
        <f>C58*C54</f>
        <v/>
      </c>
      <c r="D59" s="34">
        <f>D58*C54</f>
        <v/>
      </c>
      <c r="E59" s="34">
        <f>E58*C54</f>
        <v/>
      </c>
      <c r="F59" s="34">
        <f>F58*C54</f>
        <v/>
      </c>
      <c r="G59" s="34">
        <f>G58*C54</f>
        <v/>
      </c>
    </row>
    <row r="60">
      <c r="B60" t="inlineStr">
        <is>
          <t>FTEs Avoided</t>
        </is>
      </c>
      <c r="C60" s="55">
        <f>C59*C53/C51</f>
        <v/>
      </c>
      <c r="D60" s="55">
        <f>D59*C53/C51</f>
        <v/>
      </c>
      <c r="E60" s="55">
        <f>E59*C53/C51</f>
        <v/>
      </c>
      <c r="F60" s="55">
        <f>F59*C53/C51</f>
        <v/>
      </c>
      <c r="G60" s="55">
        <f>G59*C53/C51</f>
        <v/>
      </c>
    </row>
    <row r="61">
      <c r="B61" s="3" t="inlineStr">
        <is>
          <t>Cost Avoided (growth)</t>
        </is>
      </c>
      <c r="C61" s="49">
        <f>C60*C52</f>
        <v/>
      </c>
      <c r="D61" s="49">
        <f>D60*C52</f>
        <v/>
      </c>
      <c r="E61" s="49">
        <f>E60*C52</f>
        <v/>
      </c>
      <c r="F61" s="49">
        <f>F60*C52</f>
        <v/>
      </c>
      <c r="G61" s="49">
        <f>G60*C52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7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9">
      <c r="B9" t="inlineStr">
        <is>
          <t>Total Customers</t>
        </is>
      </c>
      <c r="C9" s="44" t="n">
        <v>3656262</v>
      </c>
      <c r="D9" t="inlineStr">
        <is>
          <t>LOW</t>
        </is>
      </c>
      <c r="E9" s="35" t="inlineStr">
        <is>
          <t>CLIENT DATA — Data Request: 3,656,262 retail customers.</t>
        </is>
      </c>
    </row>
    <row r="10">
      <c r="B10" t="inlineStr">
        <is>
          <t>Annual Revenue</t>
        </is>
      </c>
      <c r="C10" s="44" t="n">
        <v>145796000</v>
      </c>
      <c r="D10" t="inlineStr">
        <is>
          <t>LOW</t>
        </is>
      </c>
      <c r="E10" s="35" t="inlineStr">
        <is>
          <t>DERIVED — 3,656,262 x $39.87 TOI/customer = $145.8M retail income.</t>
        </is>
      </c>
    </row>
    <row r="11">
      <c r="B11" t="inlineStr">
        <is>
          <t>Cost To Income Ratio</t>
        </is>
      </c>
      <c r="C11" s="56" t="n">
        <v>0.3328</v>
      </c>
      <c r="D11" t="inlineStr">
        <is>
          <t>LOW</t>
        </is>
      </c>
      <c r="E11" s="35" t="inlineStr"/>
    </row>
    <row r="12">
      <c r="B12" t="inlineStr">
        <is>
          <t>Operating Costs</t>
        </is>
      </c>
      <c r="C12" s="44" t="n">
        <v>48500000</v>
      </c>
      <c r="D12" t="inlineStr">
        <is>
          <t>LOW</t>
        </is>
      </c>
      <c r="E12" s="35" t="inlineStr">
        <is>
          <t>ESTIMATED — Retail share of bank-wide OpEx. REQUIRES VALIDATION.</t>
        </is>
      </c>
    </row>
    <row r="13">
      <c r="B13" t="inlineStr">
        <is>
          <t>Total Fte</t>
        </is>
      </c>
      <c r="C13" s="44" t="n">
        <v>5265</v>
      </c>
      <c r="D13" t="inlineStr">
        <is>
          <t>LOW</t>
        </is>
      </c>
      <c r="E13" s="35" t="inlineStr">
        <is>
          <t>CLIENT DATA — 5,265 total FTE (3,136 branch + 2,129 back-office).</t>
        </is>
      </c>
    </row>
    <row r="14">
      <c r="B14" t="inlineStr">
        <is>
          <t>Average Fte Rate Hour</t>
        </is>
      </c>
      <c r="C14" s="57" t="n">
        <v>7.83</v>
      </c>
      <c r="D14" t="inlineStr">
        <is>
          <t>LOW</t>
        </is>
      </c>
      <c r="E14" s="35" t="inlineStr"/>
    </row>
    <row r="15">
      <c r="B15" t="inlineStr">
        <is>
          <t>Average Revenue Per Customer</t>
        </is>
      </c>
      <c r="C15" s="57" t="n">
        <v>39.87</v>
      </c>
      <c r="D15" t="inlineStr">
        <is>
          <t>LOW</t>
        </is>
      </c>
      <c r="E15" s="35" t="inlineStr">
        <is>
          <t>CLIENT DATA — TOI/customer/year (2024).</t>
        </is>
      </c>
    </row>
    <row r="17">
      <c r="B17" s="13" t="inlineStr">
        <is>
          <t>FINANCIAL PARAMETERS</t>
        </is>
      </c>
    </row>
    <row r="18">
      <c r="B18" t="inlineStr">
        <is>
          <t>Discount Rate (WACC)</t>
        </is>
      </c>
      <c r="C18" s="58" t="n">
        <v>0.1</v>
      </c>
    </row>
    <row r="19">
      <c r="B19" t="inlineStr">
        <is>
          <t>Analysis Period (Years)</t>
        </is>
      </c>
      <c r="C19" t="n">
        <v>5</v>
      </c>
    </row>
    <row r="20">
      <c r="B20" t="inlineStr">
        <is>
          <t>YoY Growth Rate</t>
        </is>
      </c>
      <c r="C20" s="58" t="n">
        <v>0.08</v>
      </c>
    </row>
    <row r="22">
      <c r="B22" s="13" t="inlineStr">
        <is>
          <t>LEVER GROUP INPUTS</t>
        </is>
      </c>
    </row>
    <row r="23">
      <c r="B23" s="29" t="inlineStr">
        <is>
          <t>L1: Digital Onboarding Funnel Recovery</t>
        </is>
      </c>
    </row>
    <row r="24">
      <c r="B24" s="59" t="inlineStr">
        <is>
          <t xml:space="preserve">  Digital Onboarding Funnel Recovery</t>
        </is>
      </c>
    </row>
    <row r="25">
      <c r="B25" t="inlineStr">
        <is>
          <t xml:space="preserve">    Annual Downloads</t>
        </is>
      </c>
      <c r="C25" s="5" t="n">
        <v>513447</v>
      </c>
      <c r="D25" t="inlineStr">
        <is>
          <t>HIGH</t>
        </is>
      </c>
      <c r="E25" s="35" t="inlineStr">
        <is>
          <t>Annual digital onboarding application starts</t>
        </is>
      </c>
      <c r="F25" s="35" t="inlineStr">
        <is>
          <t>CLIENT DATA — App downloads (3-year average). Android: 153K, iOS: 361K.</t>
        </is>
      </c>
    </row>
    <row r="26">
      <c r="B26" t="inlineStr">
        <is>
          <t xml:space="preserve">    Current Drop Rate</t>
        </is>
      </c>
      <c r="C26" s="5" t="n">
        <v>0.4</v>
      </c>
      <c r="D26" t="inlineStr">
        <is>
          <t>HIGH</t>
        </is>
      </c>
      <c r="E26" s="35" t="inlineStr">
        <is>
          <t>Drop-off rate before registration</t>
        </is>
      </c>
      <c r="F26" s="35" t="inlineStr">
        <is>
          <t>CLIENT DATA — 40% drop between download and registration (513K to 307K).</t>
        </is>
      </c>
    </row>
    <row r="27">
      <c r="B27" t="inlineStr">
        <is>
          <t xml:space="preserve">    Completion Rate</t>
        </is>
      </c>
      <c r="C27" s="5" t="n">
        <v>0.83</v>
      </c>
      <c r="D27" t="inlineStr">
        <is>
          <t>HIGH</t>
        </is>
      </c>
      <c r="E27" s="35" t="inlineStr">
        <is>
          <t>Registration-to-completion rate</t>
        </is>
      </c>
      <c r="F27" s="35" t="inlineStr">
        <is>
          <t>CLIENT DATA — Q4 2024: 43,191 complete / 52,075 register = 82.9%.</t>
        </is>
      </c>
    </row>
    <row r="28">
      <c r="B28" t="inlineStr">
        <is>
          <t xml:space="preserve">    Net Incremental Factor</t>
        </is>
      </c>
      <c r="C28" s="6" t="n">
        <v>0.6</v>
      </c>
      <c r="D28" t="inlineStr">
        <is>
          <t>LOW</t>
        </is>
      </c>
      <c r="E28" s="35" t="inlineStr">
        <is>
          <t>Net incrementality of recovered customers</t>
        </is>
      </c>
      <c r="F28" s="35" t="inlineStr">
        <is>
          <t>ESTIMATE — 60% of recovered customers are truly incremental (rest would have gone to branch).</t>
        </is>
      </c>
    </row>
    <row r="29">
      <c r="B29" t="inlineStr">
        <is>
          <t xml:space="preserve">    Revenue Per Customer</t>
        </is>
      </c>
      <c r="C29" s="5" t="n">
        <v>39.87</v>
      </c>
      <c r="D29" t="inlineStr">
        <is>
          <t>HIGH</t>
        </is>
      </c>
      <c r="E29" s="35" t="inlineStr">
        <is>
          <t>Annual revenue per customer</t>
        </is>
      </c>
      <c r="F29" s="35" t="inlineStr">
        <is>
          <t>CLIENT DATA — TOI/customer/year.</t>
        </is>
      </c>
    </row>
    <row r="30">
      <c r="B30" t="inlineStr">
        <is>
          <t xml:space="preserve">    Backbase Impact</t>
        </is>
      </c>
      <c r="C30" s="6">
        <f>INDEX('Scenario Data'!$C$24:$E$24,1,'Cashflows'!$C$5)</f>
        <v/>
      </c>
      <c r="D30" t="inlineStr">
        <is>
          <t>MEDIUM</t>
        </is>
      </c>
      <c r="E30" s="35" t="inlineStr">
        <is>
          <t>Percentage of drop-off volume recovered by Backbase Digital Onboarding</t>
        </is>
      </c>
      <c r="F30" s="35" t="inlineStr">
        <is>
          <t>GAP-BASED — Client leakage: 80%. BIC: 50%. Gap: 30pp. Capture Rate: 0.40. Impact: 30pp x 0.40 = 12pp.</t>
        </is>
      </c>
    </row>
    <row r="31">
      <c r="B31" t="inlineStr">
        <is>
          <t xml:space="preserve">    Baseline Annual</t>
        </is>
      </c>
      <c r="C31" s="34">
        <f>C25 * C26 * C27 * C28 * C29</f>
        <v/>
      </c>
    </row>
    <row r="32">
      <c r="B32" t="inlineStr">
        <is>
          <t xml:space="preserve">    Annual Benefit (Steady State)</t>
        </is>
      </c>
      <c r="C32" s="60">
        <f>C31*C30</f>
        <v/>
      </c>
    </row>
    <row r="34">
      <c r="B34" s="59" t="inlineStr">
        <is>
          <t xml:space="preserve">  Branch-to-Digital Onboarding Migration</t>
        </is>
      </c>
    </row>
    <row r="35">
      <c r="B35" t="inlineStr">
        <is>
          <t xml:space="preserve">    Annual Branch Openings</t>
        </is>
      </c>
      <c r="C35" s="5" t="n">
        <v>193177</v>
      </c>
      <c r="D35" t="inlineStr">
        <is>
          <t>HIGH</t>
        </is>
      </c>
      <c r="E35" s="35" t="inlineStr">
        <is>
          <t>Annual branch account openings</t>
        </is>
      </c>
      <c r="F35" s="35" t="inlineStr">
        <is>
          <t>CLIENT DATA — 193,177 branch account openings per year.</t>
        </is>
      </c>
    </row>
    <row r="36">
      <c r="B36" t="inlineStr">
        <is>
          <t xml:space="preserve">    Time Saved Hours</t>
        </is>
      </c>
      <c r="C36" s="5" t="n">
        <v>0.133</v>
      </c>
      <c r="D36" t="inlineStr">
        <is>
          <t>HIGH</t>
        </is>
      </c>
      <c r="E36" s="35" t="inlineStr">
        <is>
          <t>Time saved per shifted account (8 min)</t>
        </is>
      </c>
      <c r="F36" s="35" t="inlineStr">
        <is>
          <t>CLIENT DATA — Branch: 10 min, Digital: 2 min. Saved: 8 min = 0.133 hrs per account.</t>
        </is>
      </c>
    </row>
    <row r="37">
      <c r="B37" t="inlineStr">
        <is>
          <t xml:space="preserve">    Fte Rate</t>
        </is>
      </c>
      <c r="C37" s="6" t="n">
        <v>7.83</v>
      </c>
      <c r="D37" t="inlineStr">
        <is>
          <t>LOW</t>
        </is>
      </c>
      <c r="E37" s="35" t="inlineStr">
        <is>
          <t>Blended FTE hourly rate</t>
        </is>
      </c>
      <c r="F37" s="35" t="inlineStr">
        <is>
          <t>DERIVED — Est. staff costs $82.5M / 5,265 FTE / 2,000 hrs = $7.83/hr.</t>
        </is>
      </c>
    </row>
    <row r="38">
      <c r="B38" t="inlineStr">
        <is>
          <t xml:space="preserve">    Backbase Impact</t>
        </is>
      </c>
      <c r="C38" s="7" t="n">
        <v>0.25</v>
      </c>
      <c r="D38" t="inlineStr">
        <is>
          <t>MEDIUM</t>
        </is>
      </c>
      <c r="E38" s="35" t="inlineStr">
        <is>
          <t>Percentage of branch openings shifted to digital</t>
        </is>
      </c>
      <c r="F38" s="35" t="inlineStr">
        <is>
          <t>BACKBASE BENCHMARK — 20-30% branch-to-digital shift typical in first 2 years of digital onboarding.</t>
        </is>
      </c>
    </row>
    <row r="39">
      <c r="B39" t="inlineStr">
        <is>
          <t xml:space="preserve">    Baseline Annual</t>
        </is>
      </c>
      <c r="C39" s="34">
        <f>C35 * C36 * C37</f>
        <v/>
      </c>
    </row>
    <row r="40">
      <c r="B40" t="inlineStr">
        <is>
          <t xml:space="preserve">    Annual Benefit (Steady State)</t>
        </is>
      </c>
      <c r="C40" s="60">
        <f>C39*C38</f>
        <v/>
      </c>
    </row>
    <row r="43">
      <c r="B43" s="29" t="inlineStr">
        <is>
          <t>L2: Onboarding Cycle Time Acceleration</t>
        </is>
      </c>
    </row>
    <row r="44">
      <c r="B44" s="59" t="inlineStr">
        <is>
          <t xml:space="preserve">  Onboarding Processing Cost Reduction via STP</t>
        </is>
      </c>
    </row>
    <row r="45">
      <c r="B45" t="inlineStr">
        <is>
          <t xml:space="preserve">    Annual Applications</t>
        </is>
      </c>
      <c r="C45" s="6" t="n">
        <v>448000</v>
      </c>
      <c r="D45" t="inlineStr">
        <is>
          <t>MEDIUM</t>
        </is>
      </c>
      <c r="E45" s="35" t="inlineStr">
        <is>
          <t>Total annual onboarding application volume</t>
        </is>
      </c>
      <c r="F45" s="35" t="inlineStr">
        <is>
          <t>DERIVED — 255K digital + 193K branch = ~448K total new accounts per year.</t>
        </is>
      </c>
    </row>
    <row r="46">
      <c r="B46" t="inlineStr">
        <is>
          <t xml:space="preserve">    Manual Processing Hours</t>
        </is>
      </c>
      <c r="C46" s="6" t="n">
        <v>0.25</v>
      </c>
      <c r="D46" t="inlineStr">
        <is>
          <t>LOW</t>
        </is>
      </c>
      <c r="E46" s="35" t="inlineStr">
        <is>
          <t>Average back-office processing time per application</t>
        </is>
      </c>
      <c r="F46" s="35" t="inlineStr">
        <is>
          <t>ESTIMATE — 15 min average back-office processing per application (KYC check + account activation + compliance).</t>
        </is>
      </c>
    </row>
    <row r="47">
      <c r="B47" t="inlineStr">
        <is>
          <t xml:space="preserve">    Fte Rate</t>
        </is>
      </c>
      <c r="C47" s="6" t="n">
        <v>7.83</v>
      </c>
      <c r="D47" t="inlineStr">
        <is>
          <t>LOW</t>
        </is>
      </c>
      <c r="E47" s="35" t="inlineStr">
        <is>
          <t>Blended FTE hourly rate</t>
        </is>
      </c>
      <c r="F47" s="35" t="inlineStr">
        <is>
          <t>DERIVED — Est. staff costs / FTE / 2,000 hrs.</t>
        </is>
      </c>
    </row>
    <row r="48">
      <c r="B48" t="inlineStr">
        <is>
          <t xml:space="preserve">    Backbase Impact</t>
        </is>
      </c>
      <c r="C48" s="6">
        <f>INDEX('Scenario Data'!$C$25:$E$25,1,'Cashflows'!$C$5)</f>
        <v/>
      </c>
      <c r="D48" t="inlineStr">
        <is>
          <t>MEDIUM</t>
        </is>
      </c>
      <c r="E48" s="35" t="inlineStr">
        <is>
          <t>STP improvement as fraction of current manual processing volume</t>
        </is>
      </c>
      <c r="F48" s="35" t="inlineStr">
        <is>
          <t>GAP-BASED — Client STP: 45%. BIC: 85%. Gap: 40pp. Capture Rate: 0.40. Impact: 40pp x 0.40 = 16pp.</t>
        </is>
      </c>
    </row>
    <row r="49">
      <c r="B49" t="inlineStr">
        <is>
          <t xml:space="preserve">    Baseline Annual</t>
        </is>
      </c>
      <c r="C49" s="34">
        <f>C45 * C46 * C47</f>
        <v/>
      </c>
    </row>
    <row r="50">
      <c r="B50" t="inlineStr">
        <is>
          <t xml:space="preserve">    Annual Benefit (Steady State)</t>
        </is>
      </c>
      <c r="C50" s="60">
        <f>C49*C48</f>
        <v/>
      </c>
    </row>
    <row r="53">
      <c r="B53" s="29" t="inlineStr">
        <is>
          <t>L3: Call Center Cost Deflection</t>
        </is>
      </c>
    </row>
    <row r="55">
      <c r="B55" s="29" t="inlineStr">
        <is>
          <t>L4: Branch-to-Digital Servicing Migration</t>
        </is>
      </c>
    </row>
    <row r="57">
      <c r="B57" s="29" t="inlineStr">
        <is>
          <t>L5: Digital Banking Adoption Acceleration</t>
        </is>
      </c>
    </row>
    <row r="58">
      <c r="B58" s="59" t="inlineStr">
        <is>
          <t xml:space="preserve">  Revenue Uplift from Digital Adoption Acceleration</t>
        </is>
      </c>
    </row>
    <row r="59">
      <c r="B59" t="inlineStr">
        <is>
          <t xml:space="preserve">    Total Customers</t>
        </is>
      </c>
      <c r="C59" s="5" t="n">
        <v>3656262</v>
      </c>
      <c r="D59" t="inlineStr">
        <is>
          <t>HIGH</t>
        </is>
      </c>
      <c r="E59" s="35" t="inlineStr">
        <is>
          <t>Total retail customer base</t>
        </is>
      </c>
      <c r="F59" s="35" t="inlineStr">
        <is>
          <t>CLIENT DATA — 3,656,262 retail customers.</t>
        </is>
      </c>
    </row>
    <row r="60">
      <c r="B60" t="inlineStr">
        <is>
          <t xml:space="preserve">    Digital Active Rate Uplift</t>
        </is>
      </c>
      <c r="C60" s="6" t="n">
        <v>0.144</v>
      </c>
      <c r="D60" t="inlineStr">
        <is>
          <t>MEDIUM</t>
        </is>
      </c>
      <c r="E60" s="35" t="inlineStr">
        <is>
          <t>Incremental digitally active customer rate</t>
        </is>
      </c>
      <c r="F60" s="35" t="inlineStr">
        <is>
          <t>GAP-BASED — Client: 12%. BIC: 60%. Gap: 48pp. Capture: 0.30. Impact: 14.4pp.</t>
        </is>
      </c>
    </row>
    <row r="61">
      <c r="B61" t="inlineStr">
        <is>
          <t xml:space="preserve">    Incremental Revenue Per Digital Customer</t>
        </is>
      </c>
      <c r="C61" s="6" t="n">
        <v>3.99</v>
      </c>
      <c r="D61" t="inlineStr">
        <is>
          <t>LOW</t>
        </is>
      </c>
      <c r="E61" s="35" t="inlineStr">
        <is>
          <t>Incremental annual revenue per newly digitally active customer</t>
        </is>
      </c>
      <c r="F61" s="35" t="inlineStr">
        <is>
          <t>ESTIMATE — Digitally active customers generate ~10% more revenue than average ($39.87 x 10% = $3.99). Conservative estimate for Vietnamese retail.</t>
        </is>
      </c>
    </row>
    <row r="62">
      <c r="B62" t="inlineStr">
        <is>
          <t xml:space="preserve">    Backbase Impact</t>
        </is>
      </c>
      <c r="C62" s="6">
        <f>INDEX('Scenario Data'!$C$28:$E$28,1,'Cashflows'!$C$5)</f>
        <v/>
      </c>
      <c r="D62" t="inlineStr">
        <is>
          <t>MEDIUM</t>
        </is>
      </c>
      <c r="E62" s="35" t="inlineStr">
        <is>
          <t>Backbase-attributable improvement in digital active rate</t>
        </is>
      </c>
      <c r="F62" s="35" t="inlineStr">
        <is>
          <t>GAP-BASED — Client digital active: 12%. BIC: 60%. Gap: 48pp. Capture: 0.30. Impact: 14pp.</t>
        </is>
      </c>
    </row>
    <row r="63">
      <c r="B63" t="inlineStr">
        <is>
          <t xml:space="preserve">    Baseline Annual</t>
        </is>
      </c>
      <c r="C63" s="34">
        <f>C59 * C60 * C61</f>
        <v/>
      </c>
    </row>
    <row r="64">
      <c r="B64" t="inlineStr">
        <is>
          <t xml:space="preserve">    Annual Benefit (Steady State)</t>
        </is>
      </c>
      <c r="C64" s="60">
        <f>C63*C62</f>
        <v/>
      </c>
    </row>
    <row r="67">
      <c r="B67" s="29" t="inlineStr">
        <is>
          <t>L6: Back Office STP &amp; Workaround Elimination</t>
        </is>
      </c>
    </row>
    <row r="68">
      <c r="B68" s="59" t="inlineStr">
        <is>
          <t xml:space="preserve">  Back-Office STP Improvement</t>
        </is>
      </c>
    </row>
    <row r="69">
      <c r="B69" t="inlineStr">
        <is>
          <t xml:space="preserve">    Annual Processing Volume</t>
        </is>
      </c>
      <c r="C69" s="6" t="n">
        <v>520000</v>
      </c>
      <c r="D69" t="inlineStr">
        <is>
          <t>MEDIUM</t>
        </is>
      </c>
      <c r="E69" s="35" t="inlineStr">
        <is>
          <t>Total annual back-office transactions requiring manual processing</t>
        </is>
      </c>
      <c r="F69" s="35" t="inlineStr">
        <is>
          <t>DERIVED — 448K new accounts + 60K lending applications + misc servicing requests = ~520K total back-office processing events.</t>
        </is>
      </c>
    </row>
    <row r="70">
      <c r="B70" t="inlineStr">
        <is>
          <t xml:space="preserve">    Avg Processing Hours</t>
        </is>
      </c>
      <c r="C70" s="6" t="n">
        <v>0.25</v>
      </c>
      <c r="D70" t="inlineStr">
        <is>
          <t>LOW</t>
        </is>
      </c>
      <c r="E70" s="35" t="inlineStr">
        <is>
          <t>Average manual processing time per back-office event</t>
        </is>
      </c>
      <c r="F70" s="35" t="inlineStr">
        <is>
          <t>ESTIMATE — 15 min average manual processing per event (validation, decisioning, data entry).</t>
        </is>
      </c>
    </row>
    <row r="71">
      <c r="B71" t="inlineStr">
        <is>
          <t xml:space="preserve">    Fte Rate</t>
        </is>
      </c>
      <c r="C71" s="6" t="n">
        <v>7.83</v>
      </c>
      <c r="D71" t="inlineStr">
        <is>
          <t>LOW</t>
        </is>
      </c>
      <c r="E71" s="35" t="inlineStr">
        <is>
          <t>Blended FTE hourly rate</t>
        </is>
      </c>
      <c r="F71" s="35" t="inlineStr">
        <is>
          <t>DERIVED — Est. staff costs / FTE / 2,000 hrs.</t>
        </is>
      </c>
    </row>
    <row r="72">
      <c r="B72" t="inlineStr">
        <is>
          <t xml:space="preserve">    Backbase Impact</t>
        </is>
      </c>
      <c r="C72" s="6">
        <f>INDEX('Scenario Data'!$C$29:$E$29,1,'Cashflows'!$C$5)</f>
        <v/>
      </c>
      <c r="D72" t="inlineStr">
        <is>
          <t>MEDIUM</t>
        </is>
      </c>
      <c r="E72" s="35" t="inlineStr">
        <is>
          <t>Fraction of manual processing eliminated through STP</t>
        </is>
      </c>
      <c r="F72" s="35" t="inlineStr">
        <is>
          <t>GAP-BASED — Client STP: 45%. BIC: 85%. Gap: 40pp. Capture Rate: 0.45. Impact: 40pp x 0.45 = 18pp.</t>
        </is>
      </c>
    </row>
    <row r="73">
      <c r="B73" t="inlineStr">
        <is>
          <t xml:space="preserve">    Baseline Annual</t>
        </is>
      </c>
      <c r="C73" s="34">
        <f>C69 * C70 * C71</f>
        <v/>
      </c>
    </row>
    <row r="74">
      <c r="B74" t="inlineStr">
        <is>
          <t xml:space="preserve">    Annual Benefit (Steady State)</t>
        </is>
      </c>
      <c r="C74" s="60">
        <f>C73*C72</f>
        <v/>
      </c>
    </row>
    <row r="76">
      <c r="B76" s="59" t="inlineStr">
        <is>
          <t xml:space="preserve">  Internal Handoff Reduction</t>
        </is>
      </c>
    </row>
    <row r="77">
      <c r="B77" t="inlineStr">
        <is>
          <t xml:space="preserve">    Annual Applications</t>
        </is>
      </c>
      <c r="C77" s="6" t="n">
        <v>448000</v>
      </c>
      <c r="D77" t="inlineStr">
        <is>
          <t>MEDIUM</t>
        </is>
      </c>
      <c r="E77" s="35" t="inlineStr">
        <is>
          <t>Annual application volume</t>
        </is>
      </c>
      <c r="F77" s="35" t="inlineStr">
        <is>
          <t>DERIVED — Total new account applications.</t>
        </is>
      </c>
    </row>
    <row r="78">
      <c r="B78" t="inlineStr">
        <is>
          <t xml:space="preserve">    Handoffs Eliminated</t>
        </is>
      </c>
      <c r="C78" s="6" t="n">
        <v>2</v>
      </c>
      <c r="D78" t="inlineStr">
        <is>
          <t>LOW</t>
        </is>
      </c>
      <c r="E78" s="35" t="inlineStr">
        <is>
          <t>Number of handoffs eliminated per application</t>
        </is>
      </c>
      <c r="F78" s="35" t="inlineStr">
        <is>
          <t>ESTIMATE — Reduce from avg 4 to avg 2 handoffs = 2 eliminated.</t>
        </is>
      </c>
    </row>
    <row r="79">
      <c r="B79" t="inlineStr">
        <is>
          <t xml:space="preserve">    Cost Per Handoff</t>
        </is>
      </c>
      <c r="C79" s="6" t="n">
        <v>3</v>
      </c>
      <c r="D79" t="inlineStr">
        <is>
          <t>LOW</t>
        </is>
      </c>
      <c r="E79" s="35" t="inlineStr">
        <is>
          <t>Cost per internal handoff</t>
        </is>
      </c>
      <c r="F79" s="35" t="inlineStr">
        <is>
          <t>ESTIMATE — ~23 min context switching/rework at $7.83/hr = ~$3 per handoff.</t>
        </is>
      </c>
    </row>
    <row r="80">
      <c r="B80" t="inlineStr">
        <is>
          <t xml:space="preserve">    Backbase Impact</t>
        </is>
      </c>
      <c r="C80" s="6">
        <f>INDEX('Scenario Data'!$C$29:$E$29,1,'Cashflows'!$C$5)</f>
        <v/>
      </c>
      <c r="D80" t="inlineStr">
        <is>
          <t>MEDIUM</t>
        </is>
      </c>
      <c r="E80" s="35" t="inlineStr">
        <is>
          <t>Fraction of handoff costs eliminated</t>
        </is>
      </c>
      <c r="F80" s="35" t="inlineStr">
        <is>
          <t>GAP-BASED — Same as STP lever. Handoff reduction is a direct consequence of STP automation.</t>
        </is>
      </c>
    </row>
    <row r="81">
      <c r="B81" t="inlineStr">
        <is>
          <t xml:space="preserve">    Baseline Annual</t>
        </is>
      </c>
      <c r="C81" s="34">
        <f>C77 * C78 * C79</f>
        <v/>
      </c>
    </row>
    <row r="82">
      <c r="B82" t="inlineStr">
        <is>
          <t xml:space="preserve">    Annual Benefit (Steady State)</t>
        </is>
      </c>
      <c r="C82" s="60">
        <f>C81*C80</f>
        <v/>
      </c>
    </row>
    <row r="85">
      <c r="B85" s="29" t="inlineStr">
        <is>
          <t>L7: Digital Lending Pre-Approved Origination</t>
        </is>
      </c>
    </row>
    <row r="86">
      <c r="B86" s="59" t="inlineStr">
        <is>
          <t xml:space="preserve">  Cross-Lending Origination (CLO) — Pre-Approved Digital Offers</t>
        </is>
      </c>
    </row>
    <row r="87">
      <c r="B87" t="inlineStr">
        <is>
          <t xml:space="preserve">    Digitally Active Customers</t>
        </is>
      </c>
      <c r="C87" s="5" t="n">
        <v>439000</v>
      </c>
      <c r="D87" t="inlineStr">
        <is>
          <t>HIGH</t>
        </is>
      </c>
      <c r="E87" s="35" t="inlineStr">
        <is>
          <t>Digitally active customer base eligible for pre-approved offers</t>
        </is>
      </c>
      <c r="F87" s="35" t="inlineStr">
        <is>
          <t>DERIVED — 3.66M x 12% digitally active = 439K.</t>
        </is>
      </c>
    </row>
    <row r="88">
      <c r="B88" t="inlineStr">
        <is>
          <t xml:space="preserve">    Offer Acceptance Rate</t>
        </is>
      </c>
      <c r="C88" s="7" t="n">
        <v>0.04</v>
      </c>
      <c r="D88" t="inlineStr">
        <is>
          <t>MEDIUM</t>
        </is>
      </c>
      <c r="E88" s="35" t="inlineStr">
        <is>
          <t>Pre-approved offer acceptance rate</t>
        </is>
      </c>
      <c r="F88" s="35" t="inlineStr">
        <is>
          <t>BACKBASE BENCHMARK — Pre-approved CLO acceptance rates: 3-6% in Southeast Asian retail.</t>
        </is>
      </c>
    </row>
    <row r="89">
      <c r="B89" t="inlineStr">
        <is>
          <t xml:space="preserve">    Annual Revenue Per New Loan</t>
        </is>
      </c>
      <c r="C89" s="6" t="n">
        <v>150</v>
      </c>
      <c r="D89" t="inlineStr">
        <is>
          <t>LOW</t>
        </is>
      </c>
      <c r="E89" s="35" t="inlineStr">
        <is>
          <t>Annual NII per incremental loan product</t>
        </is>
      </c>
      <c r="F89" s="35" t="inlineStr">
        <is>
          <t>ESTIMATE — NIM on avg $2K unsecured loan at ~7.5% margin. Requires validation with actual loan economics.</t>
        </is>
      </c>
    </row>
    <row r="90">
      <c r="B90" t="inlineStr">
        <is>
          <t xml:space="preserve">    Backbase Impact</t>
        </is>
      </c>
      <c r="C90" s="6">
        <f>INDEX('Scenario Data'!$C$30:$E$30,1,'Cashflows'!$C$5)</f>
        <v/>
      </c>
      <c r="D90" t="inlineStr">
        <is>
          <t>LOW</t>
        </is>
      </c>
      <c r="E90" s="35" t="inlineStr">
        <is>
          <t>Backbase-attributable conversion uplift</t>
        </is>
      </c>
      <c r="F90" s="35" t="inlineStr">
        <is>
          <t>GAP-BASED — Client pre-approval conversion: 3%. BIC: 25%. Gap: 22pp. Capture Rate: 0.35. Impact: 22pp x 0.35 = 7.7pp ~ 8%.</t>
        </is>
      </c>
    </row>
    <row r="91">
      <c r="B91" t="inlineStr">
        <is>
          <t xml:space="preserve">    Baseline Annual</t>
        </is>
      </c>
      <c r="C91" s="34">
        <f>C87 * C88 * C89</f>
        <v/>
      </c>
    </row>
    <row r="92">
      <c r="B92" t="inlineStr">
        <is>
          <t xml:space="preserve">    Annual Benefit (Steady State)</t>
        </is>
      </c>
      <c r="C92" s="60">
        <f>C91*C90</f>
        <v/>
      </c>
    </row>
    <row r="94">
      <c r="B94" s="59" t="inlineStr">
        <is>
          <t xml:space="preserve">  STP Rate Improvement — Faster Loan Processing</t>
        </is>
      </c>
    </row>
    <row r="95">
      <c r="B95" t="inlineStr">
        <is>
          <t xml:space="preserve">    Current Approvals</t>
        </is>
      </c>
      <c r="C95" s="5" t="n">
        <v>59843</v>
      </c>
      <c r="D95" t="inlineStr">
        <is>
          <t>HIGH</t>
        </is>
      </c>
      <c r="E95" s="35" t="inlineStr">
        <is>
          <t>Current annual loan approvals</t>
        </is>
      </c>
      <c r="F95" s="35" t="inlineStr">
        <is>
          <t>CLIENT DATA — 59,843 USL approved/year (overdraft + CC).</t>
        </is>
      </c>
    </row>
    <row r="96">
      <c r="B96" t="inlineStr">
        <is>
          <t xml:space="preserve">    Additional Approval Rate</t>
        </is>
      </c>
      <c r="C96" s="7" t="n">
        <v>0.08</v>
      </c>
      <c r="D96" t="inlineStr">
        <is>
          <t>MEDIUM</t>
        </is>
      </c>
      <c r="E96" s="35" t="inlineStr">
        <is>
          <t>Additional approvals from STP improvement</t>
        </is>
      </c>
      <c r="F96" s="35" t="inlineStr">
        <is>
          <t>BACKBASE BENCHMARK — STP improvement recovers 5-10% of lost applications.</t>
        </is>
      </c>
    </row>
    <row r="97">
      <c r="B97" t="inlineStr">
        <is>
          <t xml:space="preserve">    Revenue Per Loan</t>
        </is>
      </c>
      <c r="C97" s="6" t="n">
        <v>150</v>
      </c>
      <c r="D97" t="inlineStr">
        <is>
          <t>LOW</t>
        </is>
      </c>
      <c r="E97" s="35" t="inlineStr">
        <is>
          <t>Annual revenue per incremental loan</t>
        </is>
      </c>
      <c r="F97" s="35" t="inlineStr">
        <is>
          <t>Same as CLO revenue per loan.</t>
        </is>
      </c>
    </row>
    <row r="98">
      <c r="B98" t="inlineStr">
        <is>
          <t xml:space="preserve">    Backbase Impact</t>
        </is>
      </c>
      <c r="C98" s="6">
        <f>INDEX('Scenario Data'!$C$30:$E$30,1,'Cashflows'!$C$5)</f>
        <v/>
      </c>
      <c r="D98" t="inlineStr">
        <is>
          <t>MEDIUM</t>
        </is>
      </c>
      <c r="E98" s="35" t="inlineStr">
        <is>
          <t>Backbase-attributable additional approval rate</t>
        </is>
      </c>
      <c r="F98" s="35" t="inlineStr">
        <is>
          <t>GAP-BASED — Same gap analysis as CLO. STP improvement enables the incremental approvals.</t>
        </is>
      </c>
    </row>
    <row r="99">
      <c r="B99" t="inlineStr">
        <is>
          <t xml:space="preserve">    Baseline Annual</t>
        </is>
      </c>
      <c r="C99" s="34">
        <f>C95 * C96 * C97</f>
        <v/>
      </c>
    </row>
    <row r="100">
      <c r="B100" t="inlineStr">
        <is>
          <t xml:space="preserve">    Annual Benefit (Steady State)</t>
        </is>
      </c>
      <c r="C100" s="60">
        <f>C99*C98</f>
        <v/>
      </c>
    </row>
    <row r="102">
      <c r="B102" s="59" t="inlineStr">
        <is>
          <t xml:space="preserve">  Digital Lending Process Cost Reduction</t>
        </is>
      </c>
    </row>
    <row r="103">
      <c r="B103" t="inlineStr">
        <is>
          <t xml:space="preserve">    Annual Applications</t>
        </is>
      </c>
      <c r="C103" s="5" t="n">
        <v>59843</v>
      </c>
      <c r="D103" t="inlineStr">
        <is>
          <t>HIGH</t>
        </is>
      </c>
      <c r="E103" s="35" t="inlineStr">
        <is>
          <t>Annual loan application volume</t>
        </is>
      </c>
      <c r="F103" s="35" t="inlineStr">
        <is>
          <t>CLIENT DATA.</t>
        </is>
      </c>
    </row>
    <row r="104">
      <c r="B104" t="inlineStr">
        <is>
          <t xml:space="preserve">    Time Saved Hours</t>
        </is>
      </c>
      <c r="C104" s="5" t="n">
        <v>0.133</v>
      </c>
      <c r="D104" t="inlineStr">
        <is>
          <t>HIGH</t>
        </is>
      </c>
      <c r="E104" s="35" t="inlineStr">
        <is>
          <t>Time saved per shifted application</t>
        </is>
      </c>
      <c r="F104" s="35" t="inlineStr">
        <is>
          <t>CLIENT DATA — Branch: 10 min, Digital: 2 min. Saved: 8 min.</t>
        </is>
      </c>
    </row>
    <row r="105">
      <c r="B105" t="inlineStr">
        <is>
          <t xml:space="preserve">    Fte Rate</t>
        </is>
      </c>
      <c r="C105" s="6" t="n">
        <v>7.83</v>
      </c>
      <c r="D105" t="inlineStr">
        <is>
          <t>LOW</t>
        </is>
      </c>
      <c r="E105" s="35" t="inlineStr">
        <is>
          <t>Blended FTE hourly rate</t>
        </is>
      </c>
      <c r="F105" s="35" t="inlineStr">
        <is>
          <t>DERIVED.</t>
        </is>
      </c>
    </row>
    <row r="106">
      <c r="B106" t="inlineStr">
        <is>
          <t xml:space="preserve">    Backbase Impact</t>
        </is>
      </c>
      <c r="C106" s="7" t="n">
        <v>0.3</v>
      </c>
      <c r="D106" t="inlineStr">
        <is>
          <t>MEDIUM</t>
        </is>
      </c>
      <c r="E106" s="35" t="inlineStr">
        <is>
          <t>Percentage of lending applications shifted to digital</t>
        </is>
      </c>
      <c r="F106" s="35" t="inlineStr">
        <is>
          <t>BACKBASE BENCHMARK — 25-35% branch-to-digital shift for lending.</t>
        </is>
      </c>
    </row>
    <row r="107">
      <c r="B107" t="inlineStr">
        <is>
          <t xml:space="preserve">    Baseline Annual</t>
        </is>
      </c>
      <c r="C107" s="34">
        <f>C103 * C104 * C105</f>
        <v/>
      </c>
    </row>
    <row r="108">
      <c r="B108" t="inlineStr">
        <is>
          <t xml:space="preserve">    Annual Benefit (Steady State)</t>
        </is>
      </c>
      <c r="C108" s="60">
        <f>C107*C106</f>
        <v/>
      </c>
    </row>
    <row r="111">
      <c r="B111" s="29" t="inlineStr">
        <is>
          <t>Loyalty, Retention &amp; Product Penetration</t>
        </is>
      </c>
    </row>
    <row r="112">
      <c r="B112" s="59" t="inlineStr">
        <is>
          <t xml:space="preserve">  Customer Churn Reduction via Digital Engagement</t>
        </is>
      </c>
    </row>
    <row r="113">
      <c r="B113" t="inlineStr">
        <is>
          <t xml:space="preserve">    Total Customers</t>
        </is>
      </c>
      <c r="C113" s="5" t="n">
        <v>3656262</v>
      </c>
      <c r="D113" t="inlineStr">
        <is>
          <t>HIGH</t>
        </is>
      </c>
      <c r="E113" s="35" t="inlineStr">
        <is>
          <t>Total retail customer base</t>
        </is>
      </c>
      <c r="F113" s="35" t="inlineStr">
        <is>
          <t>CLIENT DATA.</t>
        </is>
      </c>
    </row>
    <row r="114">
      <c r="B114" t="inlineStr">
        <is>
          <t xml:space="preserve">    Current Churn</t>
        </is>
      </c>
      <c r="C114" s="5" t="n">
        <v>0.02</v>
      </c>
      <c r="D114" t="inlineStr">
        <is>
          <t>HIGH</t>
        </is>
      </c>
      <c r="E114" s="35" t="inlineStr">
        <is>
          <t>Current annual churn rate</t>
        </is>
      </c>
      <c r="F114" s="35" t="inlineStr">
        <is>
          <t>CLIENT DATA — 2% annual churn.</t>
        </is>
      </c>
    </row>
    <row r="115">
      <c r="B115" t="inlineStr">
        <is>
          <t xml:space="preserve">    Churn Reduction Rate</t>
        </is>
      </c>
      <c r="C115" s="7" t="n">
        <v>0.25</v>
      </c>
      <c r="D115" t="inlineStr">
        <is>
          <t>MEDIUM</t>
        </is>
      </c>
      <c r="E115" s="35" t="inlineStr">
        <is>
          <t>Churn reduction through digital engagement</t>
        </is>
      </c>
      <c r="F115" s="35" t="inlineStr">
        <is>
          <t>BACKBASE BENCHMARK — Digital engagement reduces retail churn by 20-30%.</t>
        </is>
      </c>
    </row>
    <row r="116">
      <c r="B116" t="inlineStr">
        <is>
          <t xml:space="preserve">    Revenue Per Customer</t>
        </is>
      </c>
      <c r="C116" s="5" t="n">
        <v>39.87</v>
      </c>
      <c r="D116" t="inlineStr">
        <is>
          <t>HIGH</t>
        </is>
      </c>
      <c r="E116" s="35" t="inlineStr">
        <is>
          <t>Annual revenue per customer</t>
        </is>
      </c>
      <c r="F116" s="35" t="inlineStr">
        <is>
          <t>CLIENT DATA — TOI/customer/year.</t>
        </is>
      </c>
    </row>
    <row r="117">
      <c r="B117" t="inlineStr">
        <is>
          <t xml:space="preserve">    Backbase Impact</t>
        </is>
      </c>
      <c r="C117" s="7" t="n">
        <v>0.25</v>
      </c>
      <c r="D117" t="inlineStr">
        <is>
          <t>MEDIUM</t>
        </is>
      </c>
      <c r="E117" s="35" t="inlineStr">
        <is>
          <t>Churn reduction attributable to Backbase</t>
        </is>
      </c>
      <c r="F117" s="35" t="inlineStr">
        <is>
          <t>BENCHMARK — Backbase Digital Engage enables proactive retention. 25% churn reduction is within Backbase benchmark range of 20-30%.</t>
        </is>
      </c>
    </row>
    <row r="118">
      <c r="B118" t="inlineStr">
        <is>
          <t xml:space="preserve">    Baseline Annual</t>
        </is>
      </c>
      <c r="C118" s="34">
        <f>C113 * C114 * C116</f>
        <v/>
      </c>
    </row>
    <row r="119">
      <c r="B119" t="inlineStr">
        <is>
          <t xml:space="preserve">    Annual Benefit (Steady State)</t>
        </is>
      </c>
      <c r="C119" s="60">
        <f>C118*C117</f>
        <v/>
      </c>
    </row>
    <row r="121">
      <c r="B121" s="59" t="inlineStr">
        <is>
          <t xml:space="preserve">  Product Penetration Uplift via Digital Cross-Sell</t>
        </is>
      </c>
    </row>
    <row r="122">
      <c r="B122" t="inlineStr">
        <is>
          <t xml:space="preserve">    Digitally Active Base</t>
        </is>
      </c>
      <c r="C122" s="5" t="n">
        <v>439000</v>
      </c>
      <c r="D122" t="inlineStr">
        <is>
          <t>HIGH</t>
        </is>
      </c>
      <c r="E122" s="35" t="inlineStr">
        <is>
          <t>Digitally active customer base</t>
        </is>
      </c>
      <c r="F122" s="35" t="inlineStr">
        <is>
          <t>DERIVED — 3.66M x 12% digitally active.</t>
        </is>
      </c>
    </row>
    <row r="123">
      <c r="B123" t="inlineStr">
        <is>
          <t xml:space="preserve">    Incremental Products</t>
        </is>
      </c>
      <c r="C123" s="6" t="n">
        <v>0.15</v>
      </c>
      <c r="D123" t="inlineStr">
        <is>
          <t>LOW</t>
        </is>
      </c>
      <c r="E123" s="35" t="inlineStr">
        <is>
          <t>Incremental products per digitally active customer</t>
        </is>
      </c>
      <c r="F123" s="35" t="inlineStr">
        <is>
          <t>ESTIMATE — Conservative: +0.15 from 2.53 baseline via digital nudges.</t>
        </is>
      </c>
    </row>
    <row r="124">
      <c r="B124" t="inlineStr">
        <is>
          <t xml:space="preserve">    Revenue Per Product</t>
        </is>
      </c>
      <c r="C124" s="6" t="n">
        <v>15</v>
      </c>
      <c r="D124" t="inlineStr">
        <is>
          <t>LOW</t>
        </is>
      </c>
      <c r="E124" s="35" t="inlineStr">
        <is>
          <t>Annual revenue per incremental product</t>
        </is>
      </c>
      <c r="F124" s="35" t="inlineStr">
        <is>
          <t>ESTIMATE — Avg annual revenue per incremental product holding. Conservative for Vietnamese retail.</t>
        </is>
      </c>
    </row>
    <row r="125">
      <c r="B125" t="inlineStr">
        <is>
          <t xml:space="preserve">    Backbase Impact</t>
        </is>
      </c>
      <c r="C125" s="6">
        <f>INDEX('Scenario Data'!$C$28:$E$28,1,'Cashflows'!$C$5)</f>
        <v/>
      </c>
      <c r="D125" t="inlineStr">
        <is>
          <t>LOW</t>
        </is>
      </c>
      <c r="E125" s="35" t="inlineStr">
        <is>
          <t>Backbase-attributable product penetration improvement</t>
        </is>
      </c>
      <c r="F125" s="35" t="inlineStr">
        <is>
          <t>GAP-BASED — Linked to L5 digital adoption. As digital active rate improves 14pp, cross-sell opportunity scales proportionally.</t>
        </is>
      </c>
    </row>
    <row r="126">
      <c r="B126" t="inlineStr">
        <is>
          <t xml:space="preserve">    Baseline Annual</t>
        </is>
      </c>
      <c r="C126" s="34">
        <f>C122 * C123 * C124</f>
        <v/>
      </c>
    </row>
    <row r="127">
      <c r="B127" t="inlineStr">
        <is>
          <t xml:space="preserve">    Annual Benefit (Steady State)</t>
        </is>
      </c>
      <c r="C127" s="60">
        <f>C126*C125</f>
        <v/>
      </c>
    </row>
    <row r="131">
      <c r="B131" s="13" t="inlineStr">
        <is>
          <t>ACTIVE BACKBASE IMPACTS (auto-selected from scenario)</t>
        </is>
      </c>
    </row>
    <row r="132">
      <c r="B132" t="inlineStr">
        <is>
          <t>L1 Funnel Recovery</t>
        </is>
      </c>
      <c r="C132" s="24">
        <f>INDEX('Scenario Data'!$C$24:$E$24,1,'Cashflows'!$C$5)</f>
        <v/>
      </c>
    </row>
    <row r="133">
      <c r="B133" t="inlineStr">
        <is>
          <t>L2 Cycle Time Acceleration</t>
        </is>
      </c>
      <c r="C133" s="24">
        <f>INDEX('Scenario Data'!$C$25:$E$25,1,'Cashflows'!$C$5)</f>
        <v/>
      </c>
    </row>
    <row r="134">
      <c r="B134" t="inlineStr">
        <is>
          <t>L3 Call Center Deflection</t>
        </is>
      </c>
      <c r="C134" s="24">
        <f>INDEX('Scenario Data'!$C$26:$E$26,1,'Cashflows'!$C$5)</f>
        <v/>
      </c>
    </row>
    <row r="135">
      <c r="B135" t="inlineStr">
        <is>
          <t>L4 Branch Digital Migration</t>
        </is>
      </c>
      <c r="C135" s="24">
        <f>INDEX('Scenario Data'!$C$27:$E$27,1,'Cashflows'!$C$5)</f>
        <v/>
      </c>
    </row>
    <row r="136">
      <c r="B136" t="inlineStr">
        <is>
          <t>L5 Digital Adoption</t>
        </is>
      </c>
      <c r="C136" s="24">
        <f>INDEX('Scenario Data'!$C$28:$E$28,1,'Cashflows'!$C$5)</f>
        <v/>
      </c>
    </row>
    <row r="137">
      <c r="B137" t="inlineStr">
        <is>
          <t>L6 Backoffice Stp</t>
        </is>
      </c>
      <c r="C137" s="24">
        <f>INDEX('Scenario Data'!$C$29:$E$29,1,'Cashflows'!$C$5)</f>
        <v/>
      </c>
    </row>
    <row r="138">
      <c r="B138" t="inlineStr">
        <is>
          <t>L7 Digital Lending</t>
        </is>
      </c>
      <c r="C138" s="24">
        <f>INDEX('Scenario Data'!$C$30:$E$30,1,'Cashflows'!$C$5)</f>
        <v/>
      </c>
    </row>
    <row r="141">
      <c r="B141" s="13" t="inlineStr">
        <is>
          <t>INVESTMENT</t>
        </is>
      </c>
    </row>
    <row r="142">
      <c r="B142" s="3" t="inlineStr">
        <is>
          <t>License</t>
        </is>
      </c>
    </row>
    <row r="143">
      <c r="B143" t="inlineStr">
        <is>
          <t xml:space="preserve">  Year 1</t>
        </is>
      </c>
      <c r="C143" s="46" t="n">
        <v>1400000</v>
      </c>
    </row>
    <row r="144">
      <c r="B144" t="inlineStr">
        <is>
          <t xml:space="preserve">  Year 2</t>
        </is>
      </c>
      <c r="C144" s="46" t="n">
        <v>1400000</v>
      </c>
    </row>
    <row r="145">
      <c r="B145" t="inlineStr">
        <is>
          <t xml:space="preserve">  Year 3</t>
        </is>
      </c>
      <c r="C145" s="46" t="n">
        <v>1400000</v>
      </c>
    </row>
    <row r="146">
      <c r="B146" t="inlineStr">
        <is>
          <t xml:space="preserve">  Year 4</t>
        </is>
      </c>
      <c r="C146" s="46" t="n">
        <v>1400000</v>
      </c>
    </row>
    <row r="147">
      <c r="B147" t="inlineStr">
        <is>
          <t xml:space="preserve">  Year 5</t>
        </is>
      </c>
      <c r="C147" s="46" t="n">
        <v>1400000</v>
      </c>
    </row>
    <row r="149">
      <c r="B149" s="3" t="inlineStr">
        <is>
          <t>Implementation</t>
        </is>
      </c>
    </row>
    <row r="150">
      <c r="B150" t="inlineStr">
        <is>
          <t xml:space="preserve">  Year 1</t>
        </is>
      </c>
      <c r="C150" s="46" t="n">
        <v>2500000</v>
      </c>
    </row>
    <row r="151">
      <c r="B151" t="inlineStr">
        <is>
          <t xml:space="preserve">  Year 2</t>
        </is>
      </c>
      <c r="C151" s="46" t="n">
        <v>1000000</v>
      </c>
    </row>
    <row r="152">
      <c r="B152" t="inlineStr">
        <is>
          <t xml:space="preserve">  Year 3</t>
        </is>
      </c>
      <c r="C152" s="46" t="n">
        <v>500000</v>
      </c>
    </row>
    <row r="153">
      <c r="B153" t="inlineStr">
        <is>
          <t xml:space="preserve">  Year 4</t>
        </is>
      </c>
      <c r="C153" s="46" t="n">
        <v>0</v>
      </c>
    </row>
    <row r="154">
      <c r="B154" t="inlineStr">
        <is>
          <t xml:space="preserve">  Year 5</t>
        </is>
      </c>
      <c r="C154" s="46" t="n">
        <v>0</v>
      </c>
    </row>
    <row r="157">
      <c r="B157" s="13" t="inlineStr">
        <is>
          <t>ACTIVE CURVES (auto-selected from scenario)</t>
        </is>
      </c>
    </row>
    <row r="158">
      <c r="B158" s="31" t="inlineStr">
        <is>
          <t>These cells use INDEX formulas — they update when you change the scenario on the Cashflows sheet.</t>
        </is>
      </c>
    </row>
    <row r="159">
      <c r="B159" s="3" t="inlineStr">
        <is>
          <t>Default — Implementation</t>
        </is>
      </c>
    </row>
    <row r="160">
      <c r="B160" t="inlineStr">
        <is>
          <t xml:space="preserve">  Year 1</t>
        </is>
      </c>
      <c r="C160" s="61">
        <f>INDEX('Scenario Data'!$C$9:$E$9,1,'Cashflows'!$C$5)</f>
        <v/>
      </c>
    </row>
    <row r="161">
      <c r="B161" t="inlineStr">
        <is>
          <t xml:space="preserve">  Year 2</t>
        </is>
      </c>
      <c r="C161" s="61">
        <f>INDEX('Scenario Data'!$C$10:$E$10,1,'Cashflows'!$C$5)</f>
        <v/>
      </c>
    </row>
    <row r="162">
      <c r="B162" t="inlineStr">
        <is>
          <t xml:space="preserve">  Year 3</t>
        </is>
      </c>
      <c r="C162" s="61">
        <f>INDEX('Scenario Data'!$C$11:$E$11,1,'Cashflows'!$C$5)</f>
        <v/>
      </c>
    </row>
    <row r="163">
      <c r="B163" t="inlineStr">
        <is>
          <t xml:space="preserve">  Year 4</t>
        </is>
      </c>
      <c r="C163" s="61">
        <f>INDEX('Scenario Data'!$C$12:$E$12,1,'Cashflows'!$C$5)</f>
        <v/>
      </c>
    </row>
    <row r="164">
      <c r="B164" t="inlineStr">
        <is>
          <t xml:space="preserve">  Year 5</t>
        </is>
      </c>
      <c r="C164" s="61">
        <f>INDEX('Scenario Data'!$C$13:$E$13,1,'Cashflows'!$C$5)</f>
        <v/>
      </c>
    </row>
    <row r="165">
      <c r="B165" s="3" t="inlineStr">
        <is>
          <t>Default — Effectiveness</t>
        </is>
      </c>
    </row>
    <row r="166">
      <c r="B166" t="inlineStr">
        <is>
          <t xml:space="preserve">  Year 1</t>
        </is>
      </c>
      <c r="C166" s="61">
        <f>INDEX('Scenario Data'!$C$17:$E$17,1,'Cashflows'!$C$5)</f>
        <v/>
      </c>
    </row>
    <row r="167">
      <c r="B167" t="inlineStr">
        <is>
          <t xml:space="preserve">  Year 2</t>
        </is>
      </c>
      <c r="C167" s="61">
        <f>INDEX('Scenario Data'!$C$18:$E$18,1,'Cashflows'!$C$5)</f>
        <v/>
      </c>
    </row>
    <row r="168">
      <c r="B168" t="inlineStr">
        <is>
          <t xml:space="preserve">  Year 3</t>
        </is>
      </c>
      <c r="C168" s="61">
        <f>INDEX('Scenario Data'!$C$19:$E$19,1,'Cashflows'!$C$5)</f>
        <v/>
      </c>
    </row>
    <row r="169">
      <c r="B169" t="inlineStr">
        <is>
          <t xml:space="preserve">  Year 4</t>
        </is>
      </c>
      <c r="C169" s="61">
        <f>INDEX('Scenario Data'!$C$20:$E$20,1,'Cashflows'!$C$5)</f>
        <v/>
      </c>
    </row>
    <row r="170">
      <c r="B170" t="inlineStr">
        <is>
          <t xml:space="preserve">  Year 5</t>
        </is>
      </c>
      <c r="C170" s="61">
        <f>INDEX('Scenario Data'!$C$21:$E$21,1,'Cashflows'!$C$5)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Default</t>
        </is>
      </c>
    </row>
    <row r="9">
      <c r="B9" t="inlineStr">
        <is>
          <t xml:space="preserve">  Year 1</t>
        </is>
      </c>
      <c r="C9" s="53" t="n">
        <v>0.2</v>
      </c>
      <c r="D9" s="53" t="n">
        <v>0.3</v>
      </c>
      <c r="E9" s="53" t="n">
        <v>0.4</v>
      </c>
    </row>
    <row r="10">
      <c r="B10" t="inlineStr">
        <is>
          <t xml:space="preserve">  Year 2</t>
        </is>
      </c>
      <c r="C10" s="53" t="n">
        <v>0.55</v>
      </c>
      <c r="D10" s="53" t="n">
        <v>0.7</v>
      </c>
      <c r="E10" s="53" t="n">
        <v>0.8</v>
      </c>
    </row>
    <row r="11">
      <c r="B11" t="inlineStr">
        <is>
          <t xml:space="preserve">  Year 3</t>
        </is>
      </c>
      <c r="C11" s="53" t="n">
        <v>0.75</v>
      </c>
      <c r="D11" s="53" t="n">
        <v>0.8</v>
      </c>
      <c r="E11" s="53" t="n">
        <v>0.9</v>
      </c>
    </row>
    <row r="12">
      <c r="B12" t="inlineStr">
        <is>
          <t xml:space="preserve">  Year 4</t>
        </is>
      </c>
      <c r="C12" s="53" t="n">
        <v>0.9</v>
      </c>
      <c r="D12" s="53" t="n">
        <v>1</v>
      </c>
      <c r="E12" s="53" t="n">
        <v>1</v>
      </c>
    </row>
    <row r="13">
      <c r="B13" t="inlineStr">
        <is>
          <t xml:space="preserve">  Year 5</t>
        </is>
      </c>
      <c r="C13" s="53" t="n">
        <v>1</v>
      </c>
      <c r="D13" s="53" t="n">
        <v>1</v>
      </c>
      <c r="E13" s="53" t="n">
        <v>1</v>
      </c>
    </row>
    <row r="15">
      <c r="B15" s="13" t="inlineStr">
        <is>
          <t>EFFECTIVENESS CURVES</t>
        </is>
      </c>
    </row>
    <row r="16">
      <c r="B16" s="3" t="inlineStr">
        <is>
          <t>Default</t>
        </is>
      </c>
    </row>
    <row r="17">
      <c r="B17" t="inlineStr">
        <is>
          <t xml:space="preserve">  Year 1</t>
        </is>
      </c>
      <c r="C17" s="53" t="n">
        <v>0.1</v>
      </c>
      <c r="D17" s="53" t="n">
        <v>0.15</v>
      </c>
      <c r="E17" s="53" t="n">
        <v>0.2</v>
      </c>
    </row>
    <row r="18">
      <c r="B18" t="inlineStr">
        <is>
          <t xml:space="preserve">  Year 2</t>
        </is>
      </c>
      <c r="C18" s="53" t="n">
        <v>0.25</v>
      </c>
      <c r="D18" s="53" t="n">
        <v>0.35</v>
      </c>
      <c r="E18" s="53" t="n">
        <v>0.45</v>
      </c>
    </row>
    <row r="19">
      <c r="B19" t="inlineStr">
        <is>
          <t xml:space="preserve">  Year 3</t>
        </is>
      </c>
      <c r="C19" s="53" t="n">
        <v>0.45</v>
      </c>
      <c r="D19" s="53" t="n">
        <v>0.6</v>
      </c>
      <c r="E19" s="53" t="n">
        <v>0.7</v>
      </c>
    </row>
    <row r="20">
      <c r="B20" t="inlineStr">
        <is>
          <t xml:space="preserve">  Year 4</t>
        </is>
      </c>
      <c r="C20" s="53" t="n">
        <v>0.7</v>
      </c>
      <c r="D20" s="53" t="n">
        <v>0.85</v>
      </c>
      <c r="E20" s="53" t="n">
        <v>0.9</v>
      </c>
    </row>
    <row r="21">
      <c r="B21" t="inlineStr">
        <is>
          <t xml:space="preserve">  Year 5</t>
        </is>
      </c>
      <c r="C21" s="53" t="n">
        <v>0.9</v>
      </c>
      <c r="D21" s="53" t="n">
        <v>1</v>
      </c>
      <c r="E21" s="53" t="n">
        <v>1</v>
      </c>
    </row>
    <row r="23">
      <c r="B23" s="13" t="inlineStr">
        <is>
          <t>BACKBASE IMPACTS</t>
        </is>
      </c>
    </row>
    <row r="24">
      <c r="B24" t="inlineStr">
        <is>
          <t>L1 Funnel Recovery</t>
        </is>
      </c>
      <c r="C24" s="58" t="n">
        <v>0.09</v>
      </c>
      <c r="D24" s="58" t="n">
        <v>0.12</v>
      </c>
      <c r="E24" s="58" t="n">
        <v>0.15</v>
      </c>
    </row>
    <row r="25">
      <c r="B25" t="inlineStr">
        <is>
          <t>L2 Cycle Time Acceleration</t>
        </is>
      </c>
      <c r="C25" s="58" t="n">
        <v>0.12</v>
      </c>
      <c r="D25" s="58" t="n">
        <v>0.16</v>
      </c>
      <c r="E25" s="58" t="n">
        <v>0.2</v>
      </c>
    </row>
    <row r="26">
      <c r="B26" t="inlineStr">
        <is>
          <t>L3 Call Center Deflection</t>
        </is>
      </c>
      <c r="C26" s="58" t="n">
        <v>0.12</v>
      </c>
      <c r="D26" s="58" t="n">
        <v>0.16</v>
      </c>
      <c r="E26" s="58" t="n">
        <v>0.2</v>
      </c>
    </row>
    <row r="27">
      <c r="B27" t="inlineStr">
        <is>
          <t>L4 Branch Digital Migration</t>
        </is>
      </c>
      <c r="C27" s="58" t="n">
        <v>0.14</v>
      </c>
      <c r="D27" s="58" t="n">
        <v>0.19</v>
      </c>
      <c r="E27" s="58" t="n">
        <v>0.24</v>
      </c>
    </row>
    <row r="28">
      <c r="B28" t="inlineStr">
        <is>
          <t>L5 Digital Adoption</t>
        </is>
      </c>
      <c r="C28" s="58" t="n">
        <v>0.1</v>
      </c>
      <c r="D28" s="58" t="n">
        <v>0.14</v>
      </c>
      <c r="E28" s="58" t="n">
        <v>0.18</v>
      </c>
    </row>
    <row r="29">
      <c r="B29" t="inlineStr">
        <is>
          <t>L6 Backoffice Stp</t>
        </is>
      </c>
      <c r="C29" s="58" t="n">
        <v>0.14</v>
      </c>
      <c r="D29" s="58" t="n">
        <v>0.18</v>
      </c>
      <c r="E29" s="58" t="n">
        <v>0.22</v>
      </c>
    </row>
    <row r="30">
      <c r="B30" t="inlineStr">
        <is>
          <t>L7 Digital Lending</t>
        </is>
      </c>
      <c r="C30" s="58" t="n">
        <v>0.06</v>
      </c>
      <c r="D30" s="58" t="n">
        <v>0.08</v>
      </c>
      <c r="E30" s="58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4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SeABank — Retail Banking Division</t>
        </is>
      </c>
    </row>
    <row r="5">
      <c r="B5" s="3" t="inlineStr">
        <is>
          <t>Country</t>
        </is>
      </c>
      <c r="C5" t="inlineStr"/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N/A</t>
        </is>
      </c>
    </row>
    <row r="8">
      <c r="B8" s="3" t="inlineStr">
        <is>
          <t>Report Year</t>
        </is>
      </c>
      <c r="C8" t="inlineStr"/>
    </row>
    <row r="9">
      <c r="B9" s="3" t="inlineStr">
        <is>
          <t>Data Sources</t>
        </is>
      </c>
      <c r="C9" t="inlineStr"/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  <row r="15">
      <c r="B15" t="inlineStr">
        <is>
          <t>Total Customers</t>
        </is>
      </c>
      <c r="C15" s="62" t="n">
        <v>3656262</v>
      </c>
      <c r="D15" t="inlineStr">
        <is>
          <t>HIGH</t>
        </is>
      </c>
      <c r="E15" s="35" t="inlineStr">
        <is>
          <t>Client Data / Questionnaire</t>
        </is>
      </c>
    </row>
    <row r="16">
      <c r="B16" t="inlineStr">
        <is>
          <t>Annual Revenue</t>
        </is>
      </c>
      <c r="C16" s="62" t="n">
        <v>145796000</v>
      </c>
      <c r="D16" t="inlineStr">
        <is>
          <t>HIGH</t>
        </is>
      </c>
      <c r="E16" s="35" t="inlineStr">
        <is>
          <t>Client Data / Questionnaire</t>
        </is>
      </c>
    </row>
    <row r="17">
      <c r="B17" t="inlineStr">
        <is>
          <t>Operating Costs</t>
        </is>
      </c>
      <c r="C17" s="63" t="n">
        <v>48500000</v>
      </c>
      <c r="D17" t="inlineStr">
        <is>
          <t>MEDIUM</t>
        </is>
      </c>
      <c r="E17" s="35" t="inlineStr">
        <is>
          <t>Client Data / Questionnaire</t>
        </is>
      </c>
    </row>
    <row r="18">
      <c r="B18" t="inlineStr">
        <is>
          <t>Total FTE</t>
        </is>
      </c>
      <c r="C18" s="63" t="n">
        <v>5265</v>
      </c>
      <c r="D18" t="inlineStr">
        <is>
          <t>MEDIUM</t>
        </is>
      </c>
      <c r="E18" s="35" t="inlineStr">
        <is>
          <t>Client Data / Questionnaire</t>
        </is>
      </c>
    </row>
    <row r="20">
      <c r="B20" s="13" t="inlineStr">
        <is>
          <t>ADDITIONAL CONTEXT (Annual Report / Market Research)</t>
        </is>
      </c>
    </row>
    <row r="21">
      <c r="B21" s="16" t="inlineStr">
        <is>
          <t>Metric</t>
        </is>
      </c>
      <c r="C21" s="16" t="inlineStr">
        <is>
          <t>Value</t>
        </is>
      </c>
      <c r="D21" s="16" t="inlineStr">
        <is>
          <t>Confidence</t>
        </is>
      </c>
      <c r="E21" s="16" t="inlineStr">
        <is>
          <t>Source</t>
        </is>
      </c>
    </row>
    <row r="22">
      <c r="B22" t="inlineStr">
        <is>
          <t>Total Assets</t>
        </is>
      </c>
      <c r="C22" s="5" t="inlineStr">
        <is>
          <t>$12.85B (VND 325,699B, +22% YoY FY2024)</t>
        </is>
      </c>
      <c r="D22" t="inlineStr">
        <is>
          <t>HIGH</t>
        </is>
      </c>
      <c r="E22" s="35" t="inlineStr">
        <is>
          <t>SeABank FY2024 Annual Report</t>
        </is>
      </c>
    </row>
    <row r="23">
      <c r="B23" t="inlineStr">
        <is>
          <t>Total Loans</t>
        </is>
      </c>
      <c r="C23" s="5" t="inlineStr">
        <is>
          <t>$8.26B (VND 209,355B, +20.4% YoY FY2024)</t>
        </is>
      </c>
      <c r="D23" t="inlineStr">
        <is>
          <t>HIGH</t>
        </is>
      </c>
      <c r="E23" s="35" t="inlineStr">
        <is>
          <t>SeABank FY2024 Annual Report</t>
        </is>
      </c>
    </row>
    <row r="24">
      <c r="B24" t="inlineStr">
        <is>
          <t>Total Deposits</t>
        </is>
      </c>
      <c r="C24" s="5" t="inlineStr">
        <is>
          <t>$8.52B (VND 215,984B, +23% YoY FY2024)</t>
        </is>
      </c>
      <c r="D24" t="inlineStr">
        <is>
          <t>HIGH</t>
        </is>
      </c>
      <c r="E24" s="35" t="inlineStr">
        <is>
          <t>SeABank FY2024 Annual Report</t>
        </is>
      </c>
    </row>
    <row r="25">
      <c r="B25" t="inlineStr">
        <is>
          <t>Num Branches</t>
        </is>
      </c>
      <c r="C25" s="5" t="n">
        <v>180</v>
      </c>
      <c r="D25" t="inlineStr">
        <is>
          <t>HIGH</t>
        </is>
      </c>
      <c r="E25" s="35" t="inlineStr">
        <is>
          <t>SeABank FY2024 Annual Report</t>
        </is>
      </c>
    </row>
    <row r="26">
      <c r="B26" t="inlineStr">
        <is>
          <t>Npl Ratio</t>
        </is>
      </c>
      <c r="C26" s="5" t="inlineStr">
        <is>
          <t>1.89%</t>
        </is>
      </c>
      <c r="D26" t="inlineStr">
        <is>
          <t>HIGH</t>
        </is>
      </c>
      <c r="E26" s="35" t="inlineStr">
        <is>
          <t>SeABank FY2024 Annual Report</t>
        </is>
      </c>
    </row>
    <row r="27">
      <c r="B27" t="inlineStr">
        <is>
          <t>Roe</t>
        </is>
      </c>
      <c r="C27" s="5" t="inlineStr">
        <is>
          <t>14.75%</t>
        </is>
      </c>
      <c r="D27" t="inlineStr">
        <is>
          <t>HIGH</t>
        </is>
      </c>
      <c r="E27" s="35" t="inlineStr">
        <is>
          <t>SeABank FY2024 Annual Report</t>
        </is>
      </c>
    </row>
    <row r="28">
      <c r="B28" t="inlineStr">
        <is>
          <t>Roa</t>
        </is>
      </c>
      <c r="C28" s="5" t="inlineStr">
        <is>
          <t>1.63%</t>
        </is>
      </c>
      <c r="D28" t="inlineStr">
        <is>
          <t>HIGH</t>
        </is>
      </c>
      <c r="E28" s="35" t="inlineStr">
        <is>
          <t>SeABank FY2024 Annual Report</t>
        </is>
      </c>
    </row>
    <row r="29">
      <c r="B29" t="inlineStr">
        <is>
          <t>Digital Transactions</t>
        </is>
      </c>
      <c r="C29" s="5" t="inlineStr">
        <is>
          <t>52.6M (+160% YoY FY2024)</t>
        </is>
      </c>
      <c r="D29" t="inlineStr">
        <is>
          <t>HIGH</t>
        </is>
      </c>
      <c r="E29" s="35" t="inlineStr">
        <is>
          <t>SeABank FY2024 Annual Report</t>
        </is>
      </c>
    </row>
    <row r="30">
      <c r="B30" t="inlineStr">
        <is>
          <t>Casa Ratio</t>
        </is>
      </c>
      <c r="C30" s="5" t="inlineStr">
        <is>
          <t>19.4%</t>
        </is>
      </c>
      <c r="D30" t="inlineStr">
        <is>
          <t>HIGH</t>
        </is>
      </c>
      <c r="E30" s="35" t="inlineStr">
        <is>
          <t>SeABank FY2024 Annual Report</t>
        </is>
      </c>
    </row>
    <row r="31">
      <c r="B31" t="inlineStr">
        <is>
          <t>Digital Enrollment</t>
        </is>
      </c>
      <c r="C31" s="5" t="inlineStr">
        <is>
          <t>82%</t>
        </is>
      </c>
      <c r="D31" t="inlineStr">
        <is>
          <t>HIGH</t>
        </is>
      </c>
      <c r="E31" s="35" t="inlineStr">
        <is>
          <t>SeABank FY2024 Annual Report</t>
        </is>
      </c>
    </row>
    <row r="32">
      <c r="B32" t="inlineStr">
        <is>
          <t>Digital Active Rate</t>
        </is>
      </c>
      <c r="C32" s="5" t="inlineStr">
        <is>
          <t>12% (1 tx/month definition)</t>
        </is>
      </c>
      <c r="D32" t="inlineStr">
        <is>
          <t>HIGH</t>
        </is>
      </c>
      <c r="E32" s="35" t="inlineStr">
        <is>
          <t>SeABank FY2024 Annual Report</t>
        </is>
      </c>
    </row>
    <row r="33">
      <c r="B33" t="inlineStr">
        <is>
          <t>Customer Churn</t>
        </is>
      </c>
      <c r="C33" s="5" t="inlineStr">
        <is>
          <t>2% annual</t>
        </is>
      </c>
      <c r="D33" t="inlineStr">
        <is>
          <t>HIGH</t>
        </is>
      </c>
      <c r="E33" s="35" t="inlineStr">
        <is>
          <t>SeABank FY2024 Annual Report</t>
        </is>
      </c>
    </row>
    <row r="34">
      <c r="B34" t="inlineStr">
        <is>
          <t>Product Penetration</t>
        </is>
      </c>
      <c r="C34" s="5" t="inlineStr">
        <is>
          <t>2.53 (target: 4)</t>
        </is>
      </c>
      <c r="D34" t="inlineStr">
        <is>
          <t>HIGH</t>
        </is>
      </c>
      <c r="E34" s="35" t="inlineStr">
        <is>
          <t>SeABank FY2024 Annual Report</t>
        </is>
      </c>
    </row>
    <row r="35">
      <c r="B35" t="inlineStr">
        <is>
          <t>Customer Growth Yoy</t>
        </is>
      </c>
      <c r="C35" s="5" t="inlineStr">
        <is>
          <t>21.6% 3-year average</t>
        </is>
      </c>
      <c r="D35" t="inlineStr">
        <is>
          <t>HIGH</t>
        </is>
      </c>
      <c r="E35" s="35" t="inlineStr">
        <is>
          <t>SeABank FY2024 Annual Report</t>
        </is>
      </c>
    </row>
    <row r="36">
      <c r="B36" t="inlineStr">
        <is>
          <t>Core Banking</t>
        </is>
      </c>
      <c r="C36" s="5" t="inlineStr">
        <is>
          <t>Temenos T24 R22 + Way4 card management</t>
        </is>
      </c>
      <c r="D36" t="inlineStr">
        <is>
          <t>HIGH</t>
        </is>
      </c>
      <c r="E36" s="35" t="inlineStr">
        <is>
          <t>SeABank FY2024 Annual Report</t>
        </is>
      </c>
    </row>
    <row r="37">
      <c r="B37" t="inlineStr">
        <is>
          <t>Segments</t>
        </is>
      </c>
      <c r="C37" s="5" t="inlineStr">
        <is>
          <t>Mass: 3,467,741 (94.8%) | Mass Affluent: 150,028 (4.1%) | Affluent: 38,493 (1.05%)</t>
        </is>
      </c>
      <c r="D37" t="inlineStr">
        <is>
          <t>HIGH</t>
        </is>
      </c>
      <c r="E37" s="35" t="inlineStr">
        <is>
          <t>SeABank FY2024 Annual Report</t>
        </is>
      </c>
    </row>
    <row r="39">
      <c r="B39" s="13" t="inlineStr">
        <is>
          <t>DATA GAPS</t>
        </is>
      </c>
    </row>
    <row r="40">
      <c r="B40" s="16" t="inlineStr">
        <is>
          <t>Data Needed</t>
        </is>
      </c>
      <c r="C40" s="16" t="inlineStr">
        <is>
          <t>Priority</t>
        </is>
      </c>
      <c r="D40" s="16" t="inlineStr">
        <is>
          <t>Impact</t>
        </is>
      </c>
      <c r="E40" s="16" t="inlineStr">
        <is>
          <t>Where to Obtain</t>
        </is>
      </c>
    </row>
    <row r="41">
      <c r="B41" t="inlineStr"/>
      <c r="C41" s="64" t="inlineStr">
        <is>
          <t>CRITICAL</t>
        </is>
      </c>
      <c r="D41" s="35" t="inlineStr">
        <is>
          <t>Required to validate FTE hourly rate ($7.83) used in all servicing calculations</t>
        </is>
      </c>
      <c r="E41" s="35" t="inlineStr">
        <is>
          <t>HR/Finance — returned N/A in data request</t>
        </is>
      </c>
    </row>
    <row r="42">
      <c r="B42" t="inlineStr"/>
      <c r="C42" s="64" t="inlineStr">
        <is>
          <t>CRITICAL</t>
        </is>
      </c>
      <c r="D42" s="35" t="inlineStr">
        <is>
          <t>Needed to size call center deflection savings independently</t>
        </is>
      </c>
      <c r="E42" s="35" t="inlineStr">
        <is>
          <t>Head of Contact Center</t>
        </is>
      </c>
    </row>
    <row r="43">
      <c r="B43" t="inlineStr"/>
      <c r="C43" s="64" t="inlineStr">
        <is>
          <t>HIGH</t>
        </is>
      </c>
      <c r="D43" s="35" t="inlineStr">
        <is>
          <t>Validates STP improvement and digital lending shift assumptions</t>
        </is>
      </c>
      <c r="E43" s="35" t="inlineStr">
        <is>
          <t>Head of Retail Lending</t>
        </is>
      </c>
    </row>
    <row r="44">
      <c r="B44" t="inlineStr"/>
      <c r="C44" s="64" t="inlineStr">
        <is>
          <t>HIGH</t>
        </is>
      </c>
      <c r="D44" s="35" t="inlineStr">
        <is>
          <t>Validates $150/loan revenue assumption driving $2.6M CLO benefit</t>
        </is>
      </c>
      <c r="E44" s="35" t="inlineStr">
        <is>
          <t>Finance / Lending Analytics</t>
        </is>
      </c>
    </row>
    <row r="45">
      <c r="B45" t="inlineStr"/>
      <c r="C45" t="inlineStr">
        <is>
          <t>MEDIUM</t>
        </is>
      </c>
      <c r="D45" s="35" t="inlineStr">
        <is>
          <t>Would enable acquisition efficiency driver (not currently modeled)</t>
        </is>
      </c>
      <c r="E45" s="35" t="inlineStr">
        <is>
          <t>Marketing/Finance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43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SB-A1</t>
        </is>
      </c>
      <c r="C6" t="inlineStr">
        <is>
          <t>Total Retail Customers</t>
        </is>
      </c>
      <c r="D6" s="5" t="inlineStr">
        <is>
          <t>3,656,262</t>
        </is>
      </c>
      <c r="E6" t="inlineStr">
        <is>
          <t>HIGH</t>
        </is>
      </c>
      <c r="F6" s="35" t="inlineStr">
        <is>
          <t>CLIENT DATA — Data request confirmed.</t>
        </is>
      </c>
      <c r="G6" t="inlineStr">
        <is>
          <t>Head of Retail</t>
        </is>
      </c>
      <c r="H6" s="35" t="inlineStr">
        <is>
          <t>HIGH — Affects all per-customer calculations</t>
        </is>
      </c>
    </row>
    <row r="7">
      <c r="B7" t="inlineStr">
        <is>
          <t>SB-A2</t>
        </is>
      </c>
      <c r="C7" t="inlineStr">
        <is>
          <t>Revenue per Customer (TOI)</t>
        </is>
      </c>
      <c r="D7" s="5" t="inlineStr">
        <is>
          <t>$39.87/year</t>
        </is>
      </c>
      <c r="E7" t="inlineStr">
        <is>
          <t>HIGH</t>
        </is>
      </c>
      <c r="F7" s="35" t="inlineStr">
        <is>
          <t>CLIENT DATA — TOI/customer/year (2024).</t>
        </is>
      </c>
      <c r="G7" t="inlineStr">
        <is>
          <t>Finance</t>
        </is>
      </c>
      <c r="H7" s="35" t="inlineStr">
        <is>
          <t>HIGH — Core revenue metric</t>
        </is>
      </c>
    </row>
    <row r="8">
      <c r="B8" t="inlineStr">
        <is>
          <t>SB-A3</t>
        </is>
      </c>
      <c r="C8" t="inlineStr">
        <is>
          <t>Digital Active Rate</t>
        </is>
      </c>
      <c r="D8" s="5" t="inlineStr">
        <is>
          <t>12% (1 tx/month)</t>
        </is>
      </c>
      <c r="E8" t="inlineStr">
        <is>
          <t>HIGH</t>
        </is>
      </c>
      <c r="F8" s="35" t="inlineStr">
        <is>
          <t>CLIENT DATA — Definition: 1 transaction per month.</t>
        </is>
      </c>
      <c r="G8" t="inlineStr">
        <is>
          <t>Digital Banking</t>
        </is>
      </c>
      <c r="H8" s="35" t="inlineStr">
        <is>
          <t>HIGH — Determines addressable base for CLO and digital cross-sell</t>
        </is>
      </c>
    </row>
    <row r="9">
      <c r="B9" t="inlineStr">
        <is>
          <t>SB-A4</t>
        </is>
      </c>
      <c r="C9" t="inlineStr">
        <is>
          <t>Product Penetration</t>
        </is>
      </c>
      <c r="D9" s="5" t="inlineStr">
        <is>
          <t>2.53 (target: 4)</t>
        </is>
      </c>
      <c r="E9" t="inlineStr">
        <is>
          <t>HIGH</t>
        </is>
      </c>
      <c r="F9" s="35" t="inlineStr">
        <is>
          <t>CLIENT DATA — Product holding per active customer.</t>
        </is>
      </c>
      <c r="G9" t="inlineStr">
        <is>
          <t>Head of Retail Products</t>
        </is>
      </c>
      <c r="H9" s="35" t="inlineStr">
        <is>
          <t>HIGH — Drives loyalty &amp; cross-sell revenue</t>
        </is>
      </c>
    </row>
    <row r="10">
      <c r="B10" t="inlineStr">
        <is>
          <t>SB-A5</t>
        </is>
      </c>
      <c r="C10" t="inlineStr">
        <is>
          <t>Customer Churn Rate</t>
        </is>
      </c>
      <c r="D10" s="5" t="inlineStr">
        <is>
          <t>2% annual</t>
        </is>
      </c>
      <c r="E10" t="inlineStr">
        <is>
          <t>HIGH</t>
        </is>
      </c>
      <c r="F10" s="35" t="inlineStr">
        <is>
          <t>CLIENT DATA.</t>
        </is>
      </c>
      <c r="G10" t="inlineStr">
        <is>
          <t>Finance</t>
        </is>
      </c>
      <c r="H10" s="35" t="inlineStr">
        <is>
          <t>MEDIUM — Drives retention benefit</t>
        </is>
      </c>
    </row>
    <row r="11">
      <c r="B11" t="inlineStr">
        <is>
          <t>SB-A6</t>
        </is>
      </c>
      <c r="C11" t="inlineStr">
        <is>
          <t>FTE Hourly Rate</t>
        </is>
      </c>
      <c r="D11" s="6" t="inlineStr">
        <is>
          <t>$7.83/hour</t>
        </is>
      </c>
      <c r="E11" t="inlineStr">
        <is>
          <t>LOW</t>
        </is>
      </c>
      <c r="F11" s="35" t="inlineStr">
        <is>
          <t>DERIVED — Est. staff costs / FTE / 2,000 hrs. Cost per FTE returned N/A in data request.</t>
        </is>
      </c>
      <c r="G11" t="inlineStr">
        <is>
          <t>HR/Finance</t>
        </is>
      </c>
      <c r="H11" s="35" t="inlineStr">
        <is>
          <t>HIGH — Multiplied across all servicing calculations</t>
        </is>
      </c>
    </row>
    <row r="12">
      <c r="B12" t="inlineStr">
        <is>
          <t>SB-A7</t>
        </is>
      </c>
      <c r="C12" t="inlineStr">
        <is>
          <t>Digital Leakage Rate (Current)</t>
        </is>
      </c>
      <c r="D12" s="7" t="inlineStr">
        <is>
          <t>80% digital onboarding leakage</t>
        </is>
      </c>
      <c r="E12" t="inlineStr">
        <is>
          <t>MEDIUM</t>
        </is>
      </c>
      <c r="F12" s="35" t="inlineStr">
        <is>
          <t>DERIVED — 513K downloads, 307K register (60%), ~255K complete (~50%). Leakage from start to complete ~80%. Aligns with Average benchmark (70-90%).</t>
        </is>
      </c>
      <c r="G12" t="inlineStr">
        <is>
          <t>Digital Banking</t>
        </is>
      </c>
      <c r="H12" s="35" t="inlineStr">
        <is>
          <t>HIGH — Drives L1 funnel recovery sizing</t>
        </is>
      </c>
    </row>
    <row r="13">
      <c r="B13" t="inlineStr">
        <is>
          <t>SB-A8</t>
        </is>
      </c>
      <c r="C13" t="inlineStr">
        <is>
          <t>Current STP Rate</t>
        </is>
      </c>
      <c r="D13" s="7" t="inlineStr">
        <is>
          <t>~45% (&lt;50%)</t>
        </is>
      </c>
      <c r="E13" t="inlineStr">
        <is>
          <t>MEDIUM</t>
        </is>
      </c>
      <c r="F13" s="35" t="inlineStr">
        <is>
          <t>INFERRED — Evidence: 'teams still rely on manual workarounds' (E8). Poor range is &lt;50%.</t>
        </is>
      </c>
      <c r="G13" t="inlineStr">
        <is>
          <t>COD / Operations</t>
        </is>
      </c>
      <c r="H13" s="35" t="inlineStr">
        <is>
          <t>HIGH — Drives L2 and L6 sizing</t>
        </is>
      </c>
    </row>
    <row r="14">
      <c r="B14" t="inlineStr">
        <is>
          <t>SB-A9</t>
        </is>
      </c>
      <c r="C14" t="inlineStr">
        <is>
          <t>CLO Acceptance Rate</t>
        </is>
      </c>
      <c r="D14" s="7" t="inlineStr">
        <is>
          <t>4% of digitally active base</t>
        </is>
      </c>
      <c r="E14" t="inlineStr">
        <is>
          <t>MEDIUM</t>
        </is>
      </c>
      <c r="F14" s="35" t="inlineStr">
        <is>
          <t>BACKBASE BENCHMARK — SE Asian retail CLO: 3-6%.</t>
        </is>
      </c>
      <c r="G14" t="inlineStr">
        <is>
          <t>Value Consulting / Lending</t>
        </is>
      </c>
      <c r="H14" s="35" t="inlineStr">
        <is>
          <t>HIGH — Primary driver of lending revenue</t>
        </is>
      </c>
    </row>
    <row r="15">
      <c r="B15" t="inlineStr">
        <is>
          <t>SB-A10</t>
        </is>
      </c>
      <c r="C15" t="inlineStr">
        <is>
          <t>Revenue per New Loan Product</t>
        </is>
      </c>
      <c r="D15" s="6" t="inlineStr">
        <is>
          <t>$150/year</t>
        </is>
      </c>
      <c r="E15" t="inlineStr">
        <is>
          <t>LOW</t>
        </is>
      </c>
      <c r="F15" s="35" t="inlineStr">
        <is>
          <t>ESTIMATE — NIM on avg $2K unsecured loan at ~7.5% margin.</t>
        </is>
      </c>
      <c r="G15" t="inlineStr">
        <is>
          <t>Head of Retail Lending / Finance</t>
        </is>
      </c>
      <c r="H15" s="35" t="inlineStr">
        <is>
          <t>HIGH — Directly impacts lending journey benefit</t>
        </is>
      </c>
    </row>
    <row r="16">
      <c r="B16" t="inlineStr">
        <is>
          <t>SB-A11</t>
        </is>
      </c>
      <c r="C16" t="inlineStr">
        <is>
          <t>VND/USD Exchange Rate</t>
        </is>
      </c>
      <c r="D16" s="7" t="inlineStr">
        <is>
          <t>VND 25,000 = $1 USD</t>
        </is>
      </c>
      <c r="E16" t="inlineStr">
        <is>
          <t>MEDIUM</t>
        </is>
      </c>
      <c r="F16" s="35" t="inlineStr">
        <is>
          <t>MARKET — Approximate mid-2024 rate.</t>
        </is>
      </c>
      <c r="G16" t="inlineStr">
        <is>
          <t>Treasury</t>
        </is>
      </c>
      <c r="H16" s="35" t="inlineStr">
        <is>
          <t>HIGH — All VND values converted at this rate</t>
        </is>
      </c>
    </row>
    <row r="17">
      <c r="B17" t="inlineStr">
        <is>
          <t>SB-A12</t>
        </is>
      </c>
      <c r="C17" t="inlineStr">
        <is>
          <t>Call Center Self-Service Rate (Current)</t>
        </is>
      </c>
      <c r="D17" s="7" t="inlineStr">
        <is>
          <t>&lt;15% deflection</t>
        </is>
      </c>
      <c r="E17" t="inlineStr">
        <is>
          <t>MEDIUM</t>
        </is>
      </c>
      <c r="F17" s="35" t="inlineStr">
        <is>
          <t>INFERRED — Evidence: simple requests still come through call center (E5), digital hasn't scaled (E7). Poor benchmark: &lt;20%.</t>
        </is>
      </c>
      <c r="G17" t="inlineStr">
        <is>
          <t>Head of Contact Center</t>
        </is>
      </c>
      <c r="H17" s="35" t="inlineStr">
        <is>
          <t>MEDIUM — Drives L3 gap calculation</t>
        </is>
      </c>
    </row>
    <row r="18">
      <c r="B18" t="inlineStr">
        <is>
          <t>SB-A13</t>
        </is>
      </c>
      <c r="C18" t="inlineStr">
        <is>
          <t>Branch Self-Service Rate (Current)</t>
        </is>
      </c>
      <c r="D18" s="6" t="inlineStr">
        <is>
          <t>~35%</t>
        </is>
      </c>
      <c r="E18" t="inlineStr">
        <is>
          <t>LOW</t>
        </is>
      </c>
      <c r="F18" s="35" t="inlineStr">
        <is>
          <t>INFERRED — Target 70% online but currently far from it. APAC average ~50-65%, SeABank below average given evidence.</t>
        </is>
      </c>
      <c r="G18" t="inlineStr">
        <is>
          <t>Branch Operations</t>
        </is>
      </c>
      <c r="H18" s="35" t="inlineStr">
        <is>
          <t>MEDIUM — Drives L4 gap calculation</t>
        </is>
      </c>
    </row>
    <row r="19">
      <c r="B19" t="inlineStr">
        <is>
          <t>SB-A14</t>
        </is>
      </c>
      <c r="C19" t="inlineStr">
        <is>
          <t>Backbase Investment (License + Implementation)</t>
        </is>
      </c>
      <c r="D19" s="6" t="inlineStr">
        <is>
          <t>$11M over 5 years ($7M license + $4M implementation)</t>
        </is>
      </c>
      <c r="E19" t="inlineStr">
        <is>
          <t>LOW</t>
        </is>
      </c>
      <c r="F19" s="35" t="inlineStr">
        <is>
          <t>ESTIMATE — Requires commercial validation with Backbase pricing team.</t>
        </is>
      </c>
      <c r="G19" t="inlineStr">
        <is>
          <t>Backbase Commercial</t>
        </is>
      </c>
      <c r="H19" s="35" t="inlineStr">
        <is>
          <t>HIGH — Determines ROI, NPV, and payback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65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SB-DG1</t>
        </is>
      </c>
      <c r="C6" t="inlineStr">
        <is>
          <t>Average Cost per FTE — blended across branch and back-office</t>
        </is>
      </c>
      <c r="D6" s="64" t="inlineStr">
        <is>
          <t>CRITICAL</t>
        </is>
      </c>
      <c r="E6" t="inlineStr">
        <is>
          <t>HR/Finance — returned N/A in data request</t>
        </is>
      </c>
      <c r="F6" s="35" t="inlineStr">
        <is>
          <t>Validates FTE hourly rate ($7.83) used in all servicing and efficiency calculations</t>
        </is>
      </c>
    </row>
    <row r="7">
      <c r="B7" t="inlineStr">
        <is>
          <t>SB-DG2</t>
        </is>
      </c>
      <c r="C7" t="inlineStr">
        <is>
          <t>Call Center FTE count and cost structure</t>
        </is>
      </c>
      <c r="D7" s="64" t="inlineStr">
        <is>
          <t>CRITICAL</t>
        </is>
      </c>
      <c r="E7" t="inlineStr">
        <is>
          <t>Head of Contact Center — not provided in data request</t>
        </is>
      </c>
      <c r="F7" s="35" t="inlineStr">
        <is>
          <t>Validates call center deflection savings and sizes staffing benefit</t>
        </is>
      </c>
    </row>
    <row r="8">
      <c r="B8" t="inlineStr">
        <is>
          <t>SB-DG3</t>
        </is>
      </c>
      <c r="C8" t="inlineStr">
        <is>
          <t>USL application funnel by channel (starts, completed, approved)</t>
        </is>
      </c>
      <c r="D8" s="6" t="inlineStr">
        <is>
          <t>HIGH</t>
        </is>
      </c>
      <c r="E8" t="inlineStr">
        <is>
          <t>Head of Retail Lending — multiple fields returned N/A</t>
        </is>
      </c>
      <c r="F8" s="35" t="inlineStr">
        <is>
          <t>Validates STP improvement rate and digital lending shift assumptions</t>
        </is>
      </c>
    </row>
    <row r="9">
      <c r="B9" t="inlineStr">
        <is>
          <t>SB-DG4</t>
        </is>
      </c>
      <c r="C9" t="inlineStr">
        <is>
          <t>Average loan size and revenue per unsecured loan product</t>
        </is>
      </c>
      <c r="D9" s="6" t="inlineStr">
        <is>
          <t>HIGH</t>
        </is>
      </c>
      <c r="E9" t="inlineStr">
        <is>
          <t>Finance / Lending Analytics</t>
        </is>
      </c>
      <c r="F9" s="35" t="inlineStr">
        <is>
          <t>Validates $150/loan revenue assumption driving CLO benefit</t>
        </is>
      </c>
    </row>
    <row r="10">
      <c r="B10" t="inlineStr">
        <is>
          <t>SB-DG5</t>
        </is>
      </c>
      <c r="C10" t="inlineStr">
        <is>
          <t>Customer Acquisition Cost by channel (digital vs branch vs partner)</t>
        </is>
      </c>
      <c r="D10" s="6" t="inlineStr">
        <is>
          <t>HIGH</t>
        </is>
      </c>
      <c r="E10" t="inlineStr">
        <is>
          <t>Marketing/Finance — returned N/A in data request</t>
        </is>
      </c>
      <c r="F10" s="35" t="inlineStr">
        <is>
          <t>Would enable acquisition efficiency driver (not currently modeled)</t>
        </is>
      </c>
    </row>
    <row r="11">
      <c r="B11" t="inlineStr">
        <is>
          <t>SB-DG6</t>
        </is>
      </c>
      <c r="C11" t="inlineStr">
        <is>
          <t>Current STP rate — actual measurement</t>
        </is>
      </c>
      <c r="D11" s="6" t="inlineStr">
        <is>
          <t>HIGH</t>
        </is>
      </c>
      <c r="E11" t="inlineStr">
        <is>
          <t>COD / Operations — process analytics</t>
        </is>
      </c>
      <c r="F11" s="35" t="inlineStr">
        <is>
          <t>Currently inferred as &lt;50% from evidence. Actual rate would validate L2 and L6 gap calculations.</t>
        </is>
      </c>
    </row>
    <row r="12">
      <c r="B12" t="inlineStr">
        <is>
          <t>SB-DG7</t>
        </is>
      </c>
      <c r="C12" t="inlineStr">
        <is>
          <t>Digital onboarding funnel with exact step-level drop-off reasons</t>
        </is>
      </c>
      <c r="D12" t="inlineStr">
        <is>
          <t>MEDIUM</t>
        </is>
      </c>
      <c r="E12" t="inlineStr">
        <is>
          <t>Digital Banking — Insider database logs</t>
        </is>
      </c>
      <c r="F12" s="35" t="inlineStr">
        <is>
          <t>Validates funnel recovery assumptions and sizes onboarding revenue benefit</t>
        </is>
      </c>
    </row>
    <row r="13">
      <c r="B13" t="inlineStr">
        <is>
          <t>SB-DG8</t>
        </is>
      </c>
      <c r="C13" t="inlineStr">
        <is>
          <t>Segment-level P&amp;L (Mass vs Affluent vs Priority)</t>
        </is>
      </c>
      <c r="D13" t="inlineStr">
        <is>
          <t>MEDIUM</t>
        </is>
      </c>
      <c r="E13" t="inlineStr">
        <is>
          <t>Finance — segment economics</t>
        </is>
      </c>
      <c r="F13" s="35" t="inlineStr">
        <is>
          <t>Would enable segment-specific ROI and validate 'Affluent = 80% revenue' assertion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2026-04-06T11:03:26Z</dcterms:created>
  <dcterms:modified xmlns:dcterms="http://purl.org/dc/terms/" xmlns:xsi="http://www.w3.org/2001/XMLSchema-instance" xsi:type="dcterms:W3CDTF">2026-04-06T11:03:26Z</dcterms:modified>
</cp:coreProperties>
</file>
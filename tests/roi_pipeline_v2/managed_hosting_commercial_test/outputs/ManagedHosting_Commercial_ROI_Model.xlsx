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able of Contents" sheetId="3" state="visible" r:id="rId3"/>
    <sheet xmlns:r="http://schemas.openxmlformats.org/officeDocument/2006/relationships" name="Cashflows" sheetId="4" state="visible" r:id="rId4"/>
    <sheet xmlns:r="http://schemas.openxmlformats.org/officeDocument/2006/relationships" name="Journey Analysis" sheetId="5" state="visible" r:id="rId5"/>
    <sheet xmlns:r="http://schemas.openxmlformats.org/officeDocument/2006/relationships" name="Servicing Detail" sheetId="6" state="visible" r:id="rId6"/>
    <sheet xmlns:r="http://schemas.openxmlformats.org/officeDocument/2006/relationships" name="Model Inputs" sheetId="7" state="visible" r:id="rId7"/>
    <sheet xmlns:r="http://schemas.openxmlformats.org/officeDocument/2006/relationships" name="Scenario Data" sheetId="8" state="visible" r:id="rId8"/>
    <sheet xmlns:r="http://schemas.openxmlformats.org/officeDocument/2006/relationships" name="Bank Profile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Data Gaps" sheetId="11" state="visible" r:id="rId11"/>
  </sheets>
  <definedNames>
    <definedName name="ScenarioIndex">'Cashflows'!$C$5</definedName>
    <definedName name="DiscountRate">'Model Inputs'!$C11</definedName>
    <definedName name="License_Y1">'Model Inputs'!$C64</definedName>
    <definedName name="Impl_Y1">'Model Inputs'!$C71</definedName>
    <definedName name="License_Y2">'Model Inputs'!$C65</definedName>
    <definedName name="Impl_Y2">'Model Inputs'!$C72</definedName>
    <definedName name="License_Y3">'Model Inputs'!$C66</definedName>
    <definedName name="Impl_Y3">'Model Inputs'!$C73</definedName>
    <definedName name="License_Y4">'Model Inputs'!$C67</definedName>
    <definedName name="Impl_Y4">'Model Inputs'!$C74</definedName>
    <definedName name="License_Y5">'Model Inputs'!$C68</definedName>
    <definedName name="Impl_Y5">'Model Inputs'!$C75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"/>
  </numFmts>
  <fonts count="3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6FF"/>
      <sz val="16"/>
    </font>
    <font/>
    <font>
      <b val="1"/>
      <color rgb="001A56FF"/>
      <sz val="24"/>
    </font>
    <font>
      <i val="1"/>
      <sz val="14"/>
    </font>
    <font>
      <b val="1"/>
    </font>
    <font>
      <b val="1"/>
      <sz val="12"/>
    </font>
    <font>
      <b val="1"/>
      <color rgb="001A56FF"/>
      <sz val="18"/>
    </font>
    <font>
      <b val="1"/>
      <color rgb="001A56FF"/>
    </font>
    <font>
      <i val="1"/>
      <sz val="10"/>
    </font>
    <font>
      <b val="1"/>
      <color rgb="00FFFFFF"/>
    </font>
    <font>
      <b val="1"/>
      <color rgb="001A56FF"/>
      <sz val="12"/>
    </font>
    <font>
      <b val="1"/>
      <color rgb="001A56FF"/>
      <sz val="11"/>
    </font>
    <font>
      <b val="1"/>
      <color rgb="0000B386"/>
      <sz val="11"/>
    </font>
    <font>
      <i val="1"/>
      <sz val="9"/>
    </font>
    <font>
      <b val="1"/>
      <sz val="10"/>
    </font>
    <font>
      <b val="1"/>
      <color rgb="0000B386"/>
    </font>
    <font>
      <b val="1"/>
      <color rgb="001A56FF"/>
      <sz val="13"/>
    </font>
    <font>
      <b val="1"/>
      <color rgb="001A56FF"/>
      <sz val="10"/>
    </font>
    <font>
      <sz val="9"/>
    </font>
    <font>
      <i val="1"/>
      <color rgb="00FF4444"/>
      <sz val="9"/>
    </font>
    <font>
      <b val="1"/>
      <sz val="11"/>
    </font>
    <font>
      <color rgb="0000B386"/>
      <sz val="9"/>
    </font>
    <font>
      <b val="1"/>
      <color rgb="0000B386"/>
      <sz val="10"/>
    </font>
    <font>
      <b val="1"/>
      <sz val="14"/>
    </font>
    <font>
      <b val="1"/>
      <color rgb="0000B386"/>
      <sz val="14"/>
    </font>
    <font>
      <i val="1"/>
      <color rgb="0000B386"/>
      <sz val="10"/>
    </font>
    <font>
      <b val="1"/>
      <color rgb="00FF4444"/>
    </font>
    <font>
      <b val="1"/>
      <color rgb="001A56FF"/>
      <sz val="14"/>
    </font>
    <font>
      <i val="1"/>
    </font>
    <font>
      <i val="1"/>
      <color rgb="00FF4444"/>
    </font>
  </fonts>
  <fills count="8">
    <fill>
      <patternFill/>
    </fill>
    <fill>
      <patternFill patternType="gray125"/>
    </fill>
    <fill>
      <patternFill patternType="solid">
        <fgColor rgb="002D3250"/>
      </patternFill>
    </fill>
    <fill>
      <patternFill patternType="solid">
        <fgColor rgb="00E8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0" borderId="1"/>
    <xf numFmtId="0" fontId="3" fillId="3" borderId="1"/>
  </cellStyleXfs>
  <cellXfs count="5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25" fillId="3" borderId="0" pivotButton="0" quotePrefix="0" xfId="0"/>
    <xf numFmtId="0" fontId="27" fillId="0" borderId="0" pivotButton="0" quotePrefix="0" xfId="0"/>
    <xf numFmtId="0" fontId="11" fillId="2" borderId="0" applyAlignment="1" pivotButton="0" quotePrefix="0" xfId="0">
      <alignment horizontal="center"/>
    </xf>
    <xf numFmtId="0" fontId="17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28" fillId="0" borderId="0" pivotButton="0" quotePrefix="0" xfId="0"/>
    <xf numFmtId="0" fontId="25" fillId="0" borderId="0" pivotButton="0" quotePrefix="0" xfId="0"/>
    <xf numFmtId="165" fontId="25" fillId="0" borderId="0" pivotButton="0" quotePrefix="0" xfId="0"/>
    <xf numFmtId="0" fontId="29" fillId="0" borderId="0" pivotButton="0" quotePrefix="0" xfId="0"/>
    <xf numFmtId="164" fontId="0" fillId="0" borderId="0" pivotButton="0" quotePrefix="0" xfId="0"/>
    <xf numFmtId="164" fontId="26" fillId="0" borderId="0" pivotButton="0" quotePrefix="0" xfId="0"/>
    <xf numFmtId="164" fontId="25" fillId="0" borderId="0" pivotButton="0" quotePrefix="0" xfId="0"/>
    <xf numFmtId="166" fontId="25" fillId="0" borderId="0" pivotButton="0" quotePrefix="0" xfId="0"/>
    <xf numFmtId="165" fontId="2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3" fontId="6" fillId="0" borderId="0" pivotButton="0" quotePrefix="0" xfId="0"/>
    <xf numFmtId="0" fontId="20" fillId="0" borderId="0" pivotButton="0" quotePrefix="0" xfId="0"/>
    <xf numFmtId="164" fontId="6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3" fontId="14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3" fontId="26" fillId="0" borderId="0" pivotButton="0" quotePrefix="0" xfId="0"/>
    <xf numFmtId="164" fontId="0" fillId="3" borderId="0" pivotButton="0" quotePrefix="0" xfId="0"/>
    <xf numFmtId="0" fontId="16" fillId="0" borderId="0" pivotButton="0" quotePrefix="0" xfId="0"/>
    <xf numFmtId="3" fontId="0" fillId="0" borderId="0" pivotButton="0" quotePrefix="0" xfId="0"/>
    <xf numFmtId="3" fontId="17" fillId="0" borderId="0" pivotButton="0" quotePrefix="0" xfId="0"/>
    <xf numFmtId="165" fontId="0" fillId="3" borderId="0" pivotButton="0" quotePrefix="0" xfId="0"/>
    <xf numFmtId="9" fontId="0" fillId="0" borderId="0" pivotButton="0" quotePrefix="0" xfId="0"/>
    <xf numFmtId="9" fontId="0" fillId="3" borderId="0" pivotButton="0" quotePrefix="0" xfId="0"/>
    <xf numFmtId="0" fontId="6" fillId="7" borderId="0" pivotButton="0" quotePrefix="0" xfId="0"/>
    <xf numFmtId="0" fontId="30" fillId="0" borderId="0" pivotButton="0" quotePrefix="0" xfId="0"/>
    <xf numFmtId="0" fontId="31" fillId="0" borderId="0" pivotButton="0" quotePrefix="0" xfId="0"/>
  </cellXfs>
  <cellStyles count="4">
    <cellStyle name="Normal" xfId="0" builtinId="0" hidden="0"/>
    <cellStyle name="header_style" xfId="1" hidden="0"/>
    <cellStyle name="title_style" xfId="2" hidden="0"/>
    <cellStyle name="inpu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5">
      <c r="B5" s="1" t="inlineStr">
        <is>
          <t>Return on Investment Calculator</t>
        </is>
      </c>
    </row>
    <row r="7">
      <c r="B7" s="2" t="inlineStr">
        <is>
          <t>Value Consulting - Business Case</t>
        </is>
      </c>
    </row>
    <row r="10">
      <c r="B10" s="3" t="inlineStr">
        <is>
          <t>Client Name:</t>
        </is>
      </c>
      <c r="C10" t="inlineStr">
        <is>
          <t>Generic Tier 2 Commercial Bank (Southeast Asia)</t>
        </is>
      </c>
    </row>
    <row r="12">
      <c r="B12" s="3" t="inlineStr">
        <is>
          <t>Date:</t>
        </is>
      </c>
      <c r="C12" t="inlineStr">
        <is>
          <t>2026-04-07</t>
        </is>
      </c>
    </row>
    <row r="14">
      <c r="B14" s="3" t="inlineStr">
        <is>
          <t>Currency:</t>
        </is>
      </c>
      <c r="C14" t="inlineStr">
        <is>
          <t>USD</t>
        </is>
      </c>
    </row>
    <row r="16">
      <c r="B16" s="3" t="inlineStr">
        <is>
          <t>Analysis Period:</t>
        </is>
      </c>
      <c r="C16" t="inlineStr">
        <is>
          <t>5 Years</t>
        </is>
      </c>
    </row>
    <row r="18">
      <c r="B18" s="3" t="inlineStr">
        <is>
          <t>Selected Scenario:</t>
        </is>
      </c>
      <c r="C18" t="inlineStr">
        <is>
          <t>moderate</t>
        </is>
      </c>
    </row>
    <row r="20">
      <c r="B20" s="3" t="inlineStr">
        <is>
          <t>Discount Rate:</t>
        </is>
      </c>
      <c r="C20" t="inlineStr">
        <is>
          <t>10.0%</t>
        </is>
      </c>
    </row>
    <row r="24">
      <c r="B24" s="4" t="inlineStr">
        <is>
          <t>DATA SOURCE LEGEND</t>
        </is>
      </c>
    </row>
    <row r="26">
      <c r="B26" s="5" t="inlineStr">
        <is>
          <t>Green</t>
        </is>
      </c>
      <c r="C26" t="inlineStr">
        <is>
          <t>From transcript/client data</t>
        </is>
      </c>
    </row>
    <row r="27">
      <c r="B27" s="6" t="inlineStr">
        <is>
          <t>Yellow</t>
        </is>
      </c>
      <c r="C27" t="inlineStr">
        <is>
          <t>Estimate - requires validation</t>
        </is>
      </c>
    </row>
    <row r="28">
      <c r="B28" s="7" t="inlineStr">
        <is>
          <t>Blue</t>
        </is>
      </c>
      <c r="C28" t="inlineStr">
        <is>
          <t>Backbase benchmark</t>
        </is>
      </c>
    </row>
    <row r="29">
      <c r="B29" s="8" t="inlineStr">
        <is>
          <t>Red border</t>
        </is>
      </c>
      <c r="C29" t="inlineStr">
        <is>
          <t>Low confidence - critical validation</t>
        </is>
      </c>
    </row>
  </sheetData>
  <mergeCells count="2">
    <mergeCell ref="B5:C5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9" t="inlineStr">
        <is>
          <t>ROI Model Instructions</t>
        </is>
      </c>
    </row>
    <row r="4">
      <c r="B4" t="inlineStr"/>
    </row>
    <row r="5">
      <c r="B5" s="10" t="inlineStr">
        <is>
          <t>THIS IS A LIVE MODEL — all calculations use Excel formulas.</t>
        </is>
      </c>
    </row>
    <row r="6">
      <c r="B6" t="inlineStr">
        <is>
          <t>Changing any input on 'Model Inputs' will automatically recalculate all sheets.</t>
        </is>
      </c>
    </row>
    <row r="7">
      <c r="B7" t="inlineStr"/>
    </row>
    <row r="8">
      <c r="B8" s="10" t="inlineStr">
        <is>
          <t>SCENARIO SWITCHING</t>
        </is>
      </c>
    </row>
    <row r="9">
      <c r="B9" t="inlineStr">
        <is>
          <t>• Go to 'Model Inputs' sheet, cell C5</t>
        </is>
      </c>
    </row>
    <row r="10">
      <c r="B10" t="inlineStr">
        <is>
          <t>• Select: 1 = Conservative, 2 = Moderate, 3 = Aggressive</t>
        </is>
      </c>
    </row>
    <row r="11">
      <c r="B11" t="inlineStr">
        <is>
          <t>• All curves, impacts, and downstream calculations will update instantly</t>
        </is>
      </c>
    </row>
    <row r="12">
      <c r="B12" t="inlineStr"/>
    </row>
    <row r="13">
      <c r="B13" s="10" t="inlineStr">
        <is>
          <t>EDITING INPUTS</t>
        </is>
      </c>
    </row>
    <row r="14">
      <c r="B14" t="inlineStr">
        <is>
          <t>• Blue-shaded cells on 'Model Inputs' are editable — change volumes, rates, costs</t>
        </is>
      </c>
    </row>
    <row r="15">
      <c r="B15" t="inlineStr">
        <is>
          <t>• Yellow cells are estimates that should be validated with client data</t>
        </is>
      </c>
    </row>
    <row r="16">
      <c r="B16" t="inlineStr">
        <is>
          <t>• Green cells are from transcript — highest confidence</t>
        </is>
      </c>
    </row>
    <row r="17">
      <c r="B17" t="inlineStr"/>
    </row>
    <row r="18">
      <c r="B18" s="10" t="inlineStr">
        <is>
          <t>SHEET ARCHITECTURE</t>
        </is>
      </c>
    </row>
    <row r="19">
      <c r="B19" t="inlineStr">
        <is>
          <t>• Model Inputs → all editable parameters (INPUT layer)</t>
        </is>
      </c>
    </row>
    <row r="20">
      <c r="B20" t="inlineStr">
        <is>
          <t>• Scenario Data → three scenario definitions (reference table)</t>
        </is>
      </c>
    </row>
    <row r="21">
      <c r="B21" t="inlineStr">
        <is>
          <t>• Lever sheets → per-group calculations with formulas (CALCULATION layer)</t>
        </is>
      </c>
    </row>
    <row r="22">
      <c r="B22" t="inlineStr">
        <is>
          <t>• Cashflows → 5-year projection aggregating lever sheets (CALCULATION layer)</t>
        </is>
      </c>
    </row>
    <row r="23">
      <c r="B23" t="inlineStr">
        <is>
          <t>• Results Dashboard → summary KPIs from Cashflows (OUTPUT layer)</t>
        </is>
      </c>
    </row>
    <row r="24">
      <c r="B24" t="inlineStr"/>
    </row>
    <row r="25">
      <c r="B25" s="10" t="inlineStr">
        <is>
          <t>DATA CONFIDENCE LEVELS</t>
        </is>
      </c>
    </row>
    <row r="26">
      <c r="B26" t="inlineStr">
        <is>
          <t>• HIGH - Direct quote from transcript or validated client data</t>
        </is>
      </c>
    </row>
    <row r="27">
      <c r="B27" t="inlineStr">
        <is>
          <t>• MEDIUM - Inferred from transcript context or industry benchmark</t>
        </is>
      </c>
    </row>
    <row r="28">
      <c r="B28" t="inlineStr">
        <is>
          <t>• LOW - Estimate based on typical patterns - REQUIRES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C17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3">
      <c r="B3" s="9" t="inlineStr">
        <is>
          <t>Table of Contents</t>
        </is>
      </c>
    </row>
    <row r="5">
      <c r="B5" s="3" t="inlineStr">
        <is>
          <t>Input Layer</t>
        </is>
      </c>
      <c r="C5" t="inlineStr">
        <is>
          <t>Model Inputs — editable parameters</t>
        </is>
      </c>
    </row>
    <row r="6">
      <c r="B6" s="11" t="inlineStr"/>
      <c r="C6" t="inlineStr">
        <is>
          <t xml:space="preserve">  Scenario Data — Conservative / Moderate / Aggressive</t>
        </is>
      </c>
    </row>
    <row r="7">
      <c r="B7" s="3" t="inlineStr">
        <is>
          <t>Calculation</t>
        </is>
      </c>
      <c r="C7" t="inlineStr">
        <is>
          <t xml:space="preserve">  Servicing Detail — task-level breakdown</t>
        </is>
      </c>
    </row>
    <row r="8">
      <c r="B8" s="11" t="inlineStr"/>
      <c r="C8" t="inlineStr">
        <is>
          <t xml:space="preserve">  Lever: IT Operations FTE Redeployment</t>
        </is>
      </c>
    </row>
    <row r="9">
      <c r="B9" s="11" t="inlineStr"/>
      <c r="C9" t="inlineStr">
        <is>
          <t xml:space="preserve">  Lever: Compliance &amp; Security Cost Avoidance</t>
        </is>
      </c>
    </row>
    <row r="10">
      <c r="B10" s="11" t="inlineStr"/>
      <c r="C10" t="inlineStr">
        <is>
          <t xml:space="preserve">  Lever: Uptime Revenue Protection</t>
        </is>
      </c>
    </row>
    <row r="11">
      <c r="B11" s="11" t="inlineStr"/>
      <c r="C11" t="inlineStr">
        <is>
          <t xml:space="preserve">  Lever: Release Velocity &amp; Time-to-Market Acceleration</t>
        </is>
      </c>
    </row>
    <row r="12">
      <c r="B12" s="11" t="inlineStr"/>
      <c r="C12" t="inlineStr">
        <is>
          <t xml:space="preserve">  Lever: Infrastructure License &amp; Tooling Rationalization</t>
        </is>
      </c>
    </row>
    <row r="13">
      <c r="B13" s="11" t="inlineStr"/>
      <c r="C13" t="inlineStr">
        <is>
          <t xml:space="preserve">  Lever: Tech Debt Accumulation Avoidance</t>
        </is>
      </c>
    </row>
    <row r="14">
      <c r="B14" s="11" t="inlineStr"/>
      <c r="C14" t="inlineStr">
        <is>
          <t xml:space="preserve">  Cashflows — 5-year projection</t>
        </is>
      </c>
    </row>
    <row r="15">
      <c r="B15" s="3" t="inlineStr">
        <is>
          <t>Output Layer</t>
        </is>
      </c>
      <c r="C15" t="inlineStr">
        <is>
          <t>Results Dashboard — NPV, IRR, Payback, ROI</t>
        </is>
      </c>
    </row>
    <row r="16">
      <c r="B16" s="3" t="inlineStr">
        <is>
          <t>Reference</t>
        </is>
      </c>
      <c r="C16" t="inlineStr">
        <is>
          <t>Assumptions Register</t>
        </is>
      </c>
    </row>
    <row r="17">
      <c r="B17" s="11" t="inlineStr"/>
      <c r="C17" t="inlineStr">
        <is>
          <t xml:space="preserve">  Data Gaps for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9" t="inlineStr">
        <is>
          <t>5 Year Cashflows &amp; ROI</t>
        </is>
      </c>
    </row>
    <row r="3">
      <c r="B3" s="12" t="inlineStr">
        <is>
          <t>All values are live formulas. Change the scenario below — Journey Analysis and Cashflows update automatically.</t>
        </is>
      </c>
    </row>
    <row r="4">
      <c r="B4" s="13" t="inlineStr">
        <is>
          <t>SCENARIO SELECTOR</t>
        </is>
      </c>
    </row>
    <row r="5">
      <c r="B5" t="inlineStr">
        <is>
          <t>Active Scenario (1=Conservative, 2=Moderate, 3=Aggressive)</t>
        </is>
      </c>
      <c r="C5" s="14" t="n">
        <v>2</v>
      </c>
    </row>
    <row r="6">
      <c r="B6" s="15">
        <f>IF(C5=1,"Conservative — slower adoption, cautious assumptions",IF(C5=2,"Moderate — base case, phased rollout","Aggressive — fast adoption, full benefit"))</f>
        <v/>
      </c>
    </row>
    <row r="8">
      <c r="B8" s="16" t="inlineStr"/>
      <c r="C8" s="16" t="inlineStr">
        <is>
          <t>Year 1</t>
        </is>
      </c>
      <c r="D8" s="16" t="inlineStr">
        <is>
          <t>Year 2</t>
        </is>
      </c>
      <c r="E8" s="16" t="inlineStr">
        <is>
          <t>Year 3</t>
        </is>
      </c>
      <c r="F8" s="16" t="inlineStr">
        <is>
          <t>Year 4</t>
        </is>
      </c>
      <c r="G8" s="16" t="inlineStr">
        <is>
          <t>Year 5</t>
        </is>
      </c>
      <c r="H8" s="16" t="inlineStr">
        <is>
          <t>Total</t>
        </is>
      </c>
    </row>
    <row r="9">
      <c r="B9" s="17" t="inlineStr">
        <is>
          <t>CASH INFLOWS (Benefits)</t>
        </is>
      </c>
    </row>
    <row r="10">
      <c r="B10" t="inlineStr">
        <is>
          <t>IT Operations FTE Redeployment</t>
        </is>
      </c>
      <c r="C10" s="18">
        <f>'Journey Analysis'!C14*'Model Inputs'!C81*'Model Inputs'!C87</f>
        <v/>
      </c>
      <c r="D10" s="18">
        <f>'Journey Analysis'!C14*'Model Inputs'!C82*'Model Inputs'!C88</f>
        <v/>
      </c>
      <c r="E10" s="18">
        <f>'Journey Analysis'!C14*'Model Inputs'!C83*'Model Inputs'!C89</f>
        <v/>
      </c>
      <c r="F10" s="18">
        <f>'Journey Analysis'!C14*'Model Inputs'!C84*'Model Inputs'!C90</f>
        <v/>
      </c>
      <c r="G10" s="18">
        <f>'Journey Analysis'!C14*'Model Inputs'!C85*'Model Inputs'!C91</f>
        <v/>
      </c>
      <c r="H10" s="18">
        <f>SUM(C10:G10)</f>
        <v/>
      </c>
    </row>
    <row r="11">
      <c r="B11" t="inlineStr">
        <is>
          <t>Compliance &amp; Security Cost Avoidance</t>
        </is>
      </c>
      <c r="C11" s="18">
        <f>'Journey Analysis'!C26*'Model Inputs'!C81*'Model Inputs'!C87</f>
        <v/>
      </c>
      <c r="D11" s="18">
        <f>'Journey Analysis'!C26*'Model Inputs'!C82*'Model Inputs'!C88</f>
        <v/>
      </c>
      <c r="E11" s="18">
        <f>'Journey Analysis'!C26*'Model Inputs'!C83*'Model Inputs'!C89</f>
        <v/>
      </c>
      <c r="F11" s="18">
        <f>'Journey Analysis'!C26*'Model Inputs'!C84*'Model Inputs'!C90</f>
        <v/>
      </c>
      <c r="G11" s="18">
        <f>'Journey Analysis'!C26*'Model Inputs'!C85*'Model Inputs'!C91</f>
        <v/>
      </c>
      <c r="H11" s="18">
        <f>SUM(C11:G11)</f>
        <v/>
      </c>
    </row>
    <row r="12">
      <c r="B12" t="inlineStr">
        <is>
          <t>Uptime Revenue Protection</t>
        </is>
      </c>
      <c r="C12" s="18">
        <f>'Journey Analysis'!C38*'Model Inputs'!C81*'Model Inputs'!C87</f>
        <v/>
      </c>
      <c r="D12" s="18">
        <f>'Journey Analysis'!C38*'Model Inputs'!C82*'Model Inputs'!C88</f>
        <v/>
      </c>
      <c r="E12" s="18">
        <f>'Journey Analysis'!C38*'Model Inputs'!C83*'Model Inputs'!C89</f>
        <v/>
      </c>
      <c r="F12" s="18">
        <f>'Journey Analysis'!C38*'Model Inputs'!C84*'Model Inputs'!C90</f>
        <v/>
      </c>
      <c r="G12" s="18">
        <f>'Journey Analysis'!C38*'Model Inputs'!C85*'Model Inputs'!C91</f>
        <v/>
      </c>
      <c r="H12" s="18">
        <f>SUM(C12:G12)</f>
        <v/>
      </c>
    </row>
    <row r="13">
      <c r="B13" t="inlineStr">
        <is>
          <t>Release Velocity &amp; Time-to-Market Acceleration</t>
        </is>
      </c>
      <c r="C13" s="18">
        <f>'Journey Analysis'!C50*'Model Inputs'!C81*'Model Inputs'!C87</f>
        <v/>
      </c>
      <c r="D13" s="18">
        <f>'Journey Analysis'!C50*'Model Inputs'!C82*'Model Inputs'!C88</f>
        <v/>
      </c>
      <c r="E13" s="18">
        <f>'Journey Analysis'!C50*'Model Inputs'!C83*'Model Inputs'!C89</f>
        <v/>
      </c>
      <c r="F13" s="18">
        <f>'Journey Analysis'!C50*'Model Inputs'!C84*'Model Inputs'!C90</f>
        <v/>
      </c>
      <c r="G13" s="18">
        <f>'Journey Analysis'!C50*'Model Inputs'!C85*'Model Inputs'!C91</f>
        <v/>
      </c>
      <c r="H13" s="18">
        <f>SUM(C13:G13)</f>
        <v/>
      </c>
    </row>
    <row r="14">
      <c r="B14" t="inlineStr">
        <is>
          <t>Infrastructure License &amp; Tooling Rationalization</t>
        </is>
      </c>
      <c r="C14" s="18">
        <f>'Journey Analysis'!C62*'Model Inputs'!C81*'Model Inputs'!C87</f>
        <v/>
      </c>
      <c r="D14" s="18">
        <f>'Journey Analysis'!C62*'Model Inputs'!C82*'Model Inputs'!C88</f>
        <v/>
      </c>
      <c r="E14" s="18">
        <f>'Journey Analysis'!C62*'Model Inputs'!C83*'Model Inputs'!C89</f>
        <v/>
      </c>
      <c r="F14" s="18">
        <f>'Journey Analysis'!C62*'Model Inputs'!C84*'Model Inputs'!C90</f>
        <v/>
      </c>
      <c r="G14" s="18">
        <f>'Journey Analysis'!C62*'Model Inputs'!C85*'Model Inputs'!C91</f>
        <v/>
      </c>
      <c r="H14" s="18">
        <f>SUM(C14:G14)</f>
        <v/>
      </c>
    </row>
    <row r="15">
      <c r="B15" t="inlineStr">
        <is>
          <t>Tech Debt Accumulation Avoidance</t>
        </is>
      </c>
      <c r="C15" s="18">
        <f>'Journey Analysis'!C74*'Model Inputs'!C81*'Model Inputs'!C87</f>
        <v/>
      </c>
      <c r="D15" s="18">
        <f>'Journey Analysis'!C74*'Model Inputs'!C82*'Model Inputs'!C88</f>
        <v/>
      </c>
      <c r="E15" s="18">
        <f>'Journey Analysis'!C74*'Model Inputs'!C83*'Model Inputs'!C89</f>
        <v/>
      </c>
      <c r="F15" s="18">
        <f>'Journey Analysis'!C74*'Model Inputs'!C84*'Model Inputs'!C90</f>
        <v/>
      </c>
      <c r="G15" s="18">
        <f>'Journey Analysis'!C74*'Model Inputs'!C85*'Model Inputs'!C91</f>
        <v/>
      </c>
      <c r="H15" s="18">
        <f>SUM(C15:G15)</f>
        <v/>
      </c>
    </row>
    <row r="17">
      <c r="B17" s="3" t="inlineStr">
        <is>
          <t>Total Cash Inflow</t>
        </is>
      </c>
      <c r="C17" s="19">
        <f>SUM(C10:C15)</f>
        <v/>
      </c>
      <c r="D17" s="19">
        <f>SUM(D10:D15)</f>
        <v/>
      </c>
      <c r="E17" s="19">
        <f>SUM(E10:E15)</f>
        <v/>
      </c>
      <c r="F17" s="19">
        <f>SUM(F10:F15)</f>
        <v/>
      </c>
      <c r="G17" s="19">
        <f>SUM(G10:G15)</f>
        <v/>
      </c>
      <c r="H17" s="19">
        <f>SUM(H10:H15)</f>
        <v/>
      </c>
    </row>
    <row r="20">
      <c r="B20" s="20" t="inlineStr">
        <is>
          <t>CASH OUTFLOWS (Investment)</t>
        </is>
      </c>
    </row>
    <row r="21">
      <c r="B21" t="inlineStr">
        <is>
          <t>License</t>
        </is>
      </c>
      <c r="C21" s="18">
        <f>'Model Inputs'!C64</f>
        <v/>
      </c>
      <c r="D21" s="18">
        <f>'Model Inputs'!C65</f>
        <v/>
      </c>
      <c r="E21" s="18">
        <f>'Model Inputs'!C66</f>
        <v/>
      </c>
      <c r="F21" s="18">
        <f>'Model Inputs'!C67</f>
        <v/>
      </c>
      <c r="G21" s="18">
        <f>'Model Inputs'!C68</f>
        <v/>
      </c>
      <c r="H21" s="18">
        <f>SUM(C21:G21)</f>
        <v/>
      </c>
    </row>
    <row r="22">
      <c r="B22" t="inlineStr">
        <is>
          <t>Implementation</t>
        </is>
      </c>
      <c r="C22" s="18">
        <f>'Model Inputs'!C71</f>
        <v/>
      </c>
      <c r="D22" s="18">
        <f>'Model Inputs'!C72</f>
        <v/>
      </c>
      <c r="E22" s="18">
        <f>'Model Inputs'!C73</f>
        <v/>
      </c>
      <c r="F22" s="18">
        <f>'Model Inputs'!C74</f>
        <v/>
      </c>
      <c r="G22" s="18">
        <f>'Model Inputs'!C75</f>
        <v/>
      </c>
      <c r="H22" s="18">
        <f>SUM(C22:G22)</f>
        <v/>
      </c>
    </row>
    <row r="23">
      <c r="B23" s="3" t="inlineStr">
        <is>
          <t>Total Cash Outflow</t>
        </is>
      </c>
      <c r="C23" s="19">
        <f>C21+C22</f>
        <v/>
      </c>
      <c r="D23" s="19">
        <f>D21+D22</f>
        <v/>
      </c>
      <c r="E23" s="19">
        <f>E21+E22</f>
        <v/>
      </c>
      <c r="F23" s="19">
        <f>F21+F22</f>
        <v/>
      </c>
      <c r="G23" s="19">
        <f>G21+G22</f>
        <v/>
      </c>
      <c r="H23" s="19">
        <f>H21+H22</f>
        <v/>
      </c>
    </row>
    <row r="26">
      <c r="B26" s="21" t="inlineStr">
        <is>
          <t>NET CASHFLOW</t>
        </is>
      </c>
      <c r="C26" s="19">
        <f>C17-C23</f>
        <v/>
      </c>
      <c r="D26" s="19">
        <f>D17-D23</f>
        <v/>
      </c>
      <c r="E26" s="19">
        <f>E17-E23</f>
        <v/>
      </c>
      <c r="F26" s="19">
        <f>F17-F23</f>
        <v/>
      </c>
      <c r="G26" s="19">
        <f>G17-G23</f>
        <v/>
      </c>
      <c r="H26" s="22">
        <f>SUM(C26:G26)</f>
        <v/>
      </c>
    </row>
    <row r="27">
      <c r="B27" t="inlineStr">
        <is>
          <t>Cumulative Cashflow</t>
        </is>
      </c>
      <c r="C27" s="18">
        <f>C26</f>
        <v/>
      </c>
      <c r="D27" s="18">
        <f>C27+D26</f>
        <v/>
      </c>
      <c r="E27" s="18">
        <f>D27+E26</f>
        <v/>
      </c>
      <c r="F27" s="18">
        <f>E27+F26</f>
        <v/>
      </c>
      <c r="G27" s="18">
        <f>F27+G26</f>
        <v/>
      </c>
    </row>
    <row r="31">
      <c r="B31" s="23" t="inlineStr">
        <is>
          <t>FINANCIAL METRICS</t>
        </is>
      </c>
    </row>
    <row r="32">
      <c r="B32" t="inlineStr">
        <is>
          <t>Discount Rate (WACC)</t>
        </is>
      </c>
      <c r="C32" s="24">
        <f>'Model Inputs'!C11</f>
        <v/>
      </c>
    </row>
    <row r="33">
      <c r="B33" t="inlineStr">
        <is>
          <t>Total 5-Year Benefits</t>
        </is>
      </c>
      <c r="C33" s="22">
        <f>H17</f>
        <v/>
      </c>
    </row>
    <row r="34">
      <c r="B34" t="inlineStr">
        <is>
          <t>Total 5-Year Investment</t>
        </is>
      </c>
      <c r="C34" s="18">
        <f>H23</f>
        <v/>
      </c>
    </row>
    <row r="35">
      <c r="B35" t="inlineStr">
        <is>
          <t>Net Benefit</t>
        </is>
      </c>
      <c r="C35" s="22">
        <f>C33-C34</f>
        <v/>
      </c>
    </row>
    <row r="36">
      <c r="B36" t="inlineStr">
        <is>
          <t>ROI %</t>
        </is>
      </c>
      <c r="C36" s="25">
        <f>IFERROR((C33-C34)/C34,0)</f>
        <v/>
      </c>
    </row>
    <row r="37">
      <c r="B37" t="inlineStr">
        <is>
          <t>Net Present Value (NPV)</t>
        </is>
      </c>
      <c r="C37" s="22">
        <f>NPV(C32,C26:G26)</f>
        <v/>
      </c>
    </row>
    <row r="38">
      <c r="B38" t="inlineStr">
        <is>
          <t>Internal Rate of Return (IRR)</t>
        </is>
      </c>
      <c r="C38" s="26">
        <f>IFERROR(IRR(C26:G26),"N/A")</f>
        <v/>
      </c>
    </row>
    <row r="39">
      <c r="B39" t="inlineStr">
        <is>
          <t>Payback Period (Years)</t>
        </is>
      </c>
      <c r="C39" s="27">
        <f>IF(C27&gt;=0,1-((C27-C26)/C26),IF(D27&gt;=0,2-((D27-D26)/D26),IF(E27&gt;=0,3-((E27-E26)/E26),IF(F27&gt;=0,4-((F27-F26)/F26),IF(G27&gt;=0,5-((G27-G26)/G26),"N/A")))))</f>
        <v/>
      </c>
    </row>
    <row r="43">
      <c r="B43" s="23" t="inlineStr">
        <is>
          <t>BENEFITS BY LEVER (Annual Steady State)</t>
        </is>
      </c>
    </row>
    <row r="45">
      <c r="B45" s="16" t="inlineStr">
        <is>
          <t>Lever Group</t>
        </is>
      </c>
      <c r="C45" s="16" t="inlineStr">
        <is>
          <t>Lifecycle Stage</t>
        </is>
      </c>
      <c r="D45" s="16" t="inlineStr">
        <is>
          <t>Annual Benefit</t>
        </is>
      </c>
    </row>
    <row r="46">
      <c r="B46" t="inlineStr">
        <is>
          <t>IT Operations FTE Redeployment</t>
        </is>
      </c>
      <c r="C46" t="inlineStr">
        <is>
          <t>Operating Model</t>
        </is>
      </c>
      <c r="D46" s="19">
        <f>'Journey Analysis'!C14</f>
        <v/>
      </c>
    </row>
    <row r="47">
      <c r="B47" t="inlineStr">
        <is>
          <t>Compliance &amp; Security Cost Avoidance</t>
        </is>
      </c>
      <c r="C47" t="inlineStr">
        <is>
          <t>Operating Model</t>
        </is>
      </c>
      <c r="D47" s="19">
        <f>'Journey Analysis'!C26</f>
        <v/>
      </c>
    </row>
    <row r="48">
      <c r="B48" t="inlineStr">
        <is>
          <t>Uptime Revenue Protection</t>
        </is>
      </c>
      <c r="C48" t="inlineStr">
        <is>
          <t>Retain</t>
        </is>
      </c>
      <c r="D48" s="19">
        <f>'Journey Analysis'!C38</f>
        <v/>
      </c>
    </row>
    <row r="49">
      <c r="B49" t="inlineStr">
        <is>
          <t>Release Velocity &amp; Time-to-Market Acceleration</t>
        </is>
      </c>
      <c r="C49" t="inlineStr">
        <is>
          <t>Operating Model</t>
        </is>
      </c>
      <c r="D49" s="19">
        <f>'Journey Analysis'!C50</f>
        <v/>
      </c>
    </row>
    <row r="50">
      <c r="B50" t="inlineStr">
        <is>
          <t>Infrastructure License &amp; Tooling Rationalization</t>
        </is>
      </c>
      <c r="C50" t="inlineStr">
        <is>
          <t>Operating Model</t>
        </is>
      </c>
      <c r="D50" s="19">
        <f>'Journey Analysis'!C62</f>
        <v/>
      </c>
    </row>
    <row r="51">
      <c r="B51" t="inlineStr">
        <is>
          <t>Tech Debt Accumulation Avoidance</t>
        </is>
      </c>
      <c r="C51" t="inlineStr">
        <is>
          <t>Operating Model</t>
        </is>
      </c>
      <c r="D51" s="19">
        <f>'Journey Analysis'!C74</f>
        <v/>
      </c>
    </row>
    <row r="52">
      <c r="B52" s="3" t="inlineStr">
        <is>
          <t>TOTAL</t>
        </is>
      </c>
      <c r="D52" s="28">
        <f>SUM(D46:D51)</f>
        <v/>
      </c>
    </row>
  </sheetData>
  <dataValidations count="1">
    <dataValidation sqref="C5" showDropDown="0" showInputMessage="0" showErrorMessage="0" allowBlank="0" errorTitle="Invalid Scenario" error="Select 1 (Conservative), 2 (Moderate), or 3 (Aggressive)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7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5" customWidth="1" min="4" max="4"/>
  </cols>
  <sheetData>
    <row r="1">
      <c r="B1" s="9" t="inlineStr">
        <is>
          <t>Journey Analysis — Benefit Calculation Chain</t>
        </is>
      </c>
    </row>
    <row r="2">
      <c r="B2" s="29" t="inlineStr">
        <is>
          <t>Active Scenario:</t>
        </is>
      </c>
      <c r="C2" s="30">
        <f>IF('Cashflows'!$C$5=1,"Conservative",IF('Cashflows'!$C$5=2,"Moderate","Aggressive"))</f>
        <v/>
      </c>
      <c r="D2" s="31" t="inlineStr">
        <is>
          <t>(Change on Cashflows sheet)</t>
        </is>
      </c>
    </row>
    <row r="3">
      <c r="B3" s="12" t="inlineStr">
        <is>
          <t>Each lever: input factors → Baseline (formula) → × Backbase Impact → Annual Benefit. Change scenario on Cashflows to update scenario-linked impacts.</t>
        </is>
      </c>
    </row>
    <row r="5">
      <c r="B5" s="32" t="inlineStr">
        <is>
          <t>IT Operations FTE Redeployment</t>
        </is>
      </c>
    </row>
    <row r="6">
      <c r="B6" s="29" t="inlineStr">
        <is>
          <t>Cost Reduction</t>
        </is>
      </c>
    </row>
    <row r="7">
      <c r="B7" s="33" t="inlineStr">
        <is>
          <t xml:space="preserve">  L1_D1</t>
        </is>
      </c>
      <c r="D7" s="31" t="inlineStr">
        <is>
          <t>Cost</t>
        </is>
      </c>
    </row>
    <row r="8">
      <c r="B8" s="16" t="inlineStr">
        <is>
          <t>Factor</t>
        </is>
      </c>
      <c r="C8" s="16" t="inlineStr">
        <is>
          <t>Value</t>
        </is>
      </c>
      <c r="D8" s="16" t="inlineStr">
        <is>
          <t>Unit</t>
        </is>
      </c>
    </row>
    <row r="9">
      <c r="B9" s="3" t="inlineStr">
        <is>
          <t xml:space="preserve">    Baseline</t>
        </is>
      </c>
      <c r="C9" s="34">
        <f>{it_platform_ftes} * {loaded_annual_fte_cost}</f>
        <v/>
      </c>
      <c r="D9" s="35" t="inlineStr">
        <is>
          <t>USD/year</t>
        </is>
      </c>
    </row>
    <row r="10">
      <c r="B10" s="3" t="inlineStr">
        <is>
          <t xml:space="preserve">    Backbase Impact</t>
        </is>
      </c>
      <c r="C10" s="36" t="n">
        <v>0.3</v>
      </c>
      <c r="D10" s="31" t="inlineStr">
        <is>
          <t>% of baseline captured by Backbase</t>
        </is>
      </c>
      <c r="E10" s="37" t="inlineStr">
        <is>
          <t>⚠ FALLBACK — scenario linkage missing, defaulted to 30%</t>
        </is>
      </c>
    </row>
    <row r="11">
      <c r="B11" s="38" t="inlineStr">
        <is>
          <t xml:space="preserve">    Annual Benefit</t>
        </is>
      </c>
      <c r="C11" s="39">
        <f>C9*C10</f>
        <v/>
      </c>
      <c r="D11" s="40" t="inlineStr">
        <is>
          <t>USD/year (scenario-adjusted)</t>
        </is>
      </c>
    </row>
    <row r="14">
      <c r="B14" s="38" t="inlineStr">
        <is>
          <t>Total: IT Operations FTE Redeployment</t>
        </is>
      </c>
      <c r="C14" s="39">
        <f>C11</f>
        <v/>
      </c>
    </row>
    <row r="17">
      <c r="B17" s="32" t="inlineStr">
        <is>
          <t>Compliance &amp; Security Cost Avoidance</t>
        </is>
      </c>
    </row>
    <row r="18">
      <c r="B18" s="29" t="inlineStr">
        <is>
          <t>Cost Reduction</t>
        </is>
      </c>
    </row>
    <row r="19">
      <c r="B19" s="33" t="inlineStr">
        <is>
          <t xml:space="preserve">  L2_D1</t>
        </is>
      </c>
      <c r="D19" s="31" t="inlineStr">
        <is>
          <t>Cost</t>
        </is>
      </c>
    </row>
    <row r="20">
      <c r="B20" s="16" t="inlineStr">
        <is>
          <t>Factor</t>
        </is>
      </c>
      <c r="C20" s="16" t="inlineStr">
        <is>
          <t>Value</t>
        </is>
      </c>
      <c r="D20" s="16" t="inlineStr">
        <is>
          <t>Unit</t>
        </is>
      </c>
    </row>
    <row r="21">
      <c r="B21" s="3" t="inlineStr">
        <is>
          <t xml:space="preserve">    Baseline</t>
        </is>
      </c>
      <c r="C21" s="34">
        <f>{security_ftes} * {loaded_annual_fte_cost} + {annual_audit_costs}</f>
        <v/>
      </c>
      <c r="D21" s="35" t="inlineStr">
        <is>
          <t>USD/year</t>
        </is>
      </c>
    </row>
    <row r="22">
      <c r="B22" s="3" t="inlineStr">
        <is>
          <t xml:space="preserve">    Backbase Impact</t>
        </is>
      </c>
      <c r="C22" s="36" t="n">
        <v>0.3</v>
      </c>
      <c r="D22" s="31" t="inlineStr">
        <is>
          <t>% of baseline captured by Backbase</t>
        </is>
      </c>
      <c r="E22" s="37" t="inlineStr">
        <is>
          <t>⚠ FALLBACK — scenario linkage missing, defaulted to 30%</t>
        </is>
      </c>
    </row>
    <row r="23">
      <c r="B23" s="38" t="inlineStr">
        <is>
          <t xml:space="preserve">    Annual Benefit</t>
        </is>
      </c>
      <c r="C23" s="39">
        <f>C21*C22</f>
        <v/>
      </c>
      <c r="D23" s="40" t="inlineStr">
        <is>
          <t>USD/year (scenario-adjusted)</t>
        </is>
      </c>
    </row>
    <row r="26">
      <c r="B26" s="38" t="inlineStr">
        <is>
          <t>Total: Compliance &amp; Security Cost Avoidance</t>
        </is>
      </c>
      <c r="C26" s="39">
        <f>C23</f>
        <v/>
      </c>
    </row>
    <row r="29">
      <c r="B29" s="32" t="inlineStr">
        <is>
          <t>Uptime Revenue Protection</t>
        </is>
      </c>
    </row>
    <row r="30">
      <c r="B30" s="30" t="inlineStr">
        <is>
          <t>Revenue Generation</t>
        </is>
      </c>
    </row>
    <row r="31">
      <c r="B31" s="41" t="inlineStr">
        <is>
          <t xml:space="preserve">  L3_D1</t>
        </is>
      </c>
      <c r="D31" s="31" t="inlineStr">
        <is>
          <t>Revenue</t>
        </is>
      </c>
    </row>
    <row r="32">
      <c r="B32" s="16" t="inlineStr">
        <is>
          <t>Factor</t>
        </is>
      </c>
      <c r="C32" s="16" t="inlineStr">
        <is>
          <t>Value</t>
        </is>
      </c>
      <c r="D32" s="16" t="inlineStr">
        <is>
          <t>Unit</t>
        </is>
      </c>
    </row>
    <row r="33">
      <c r="B33" s="3" t="inlineStr">
        <is>
          <t xml:space="preserve">    Baseline</t>
        </is>
      </c>
      <c r="C33" s="34">
        <f>{annual_revenue} * {digital_adoption_rate} * {downtime_revenue_risk_factor} * ({current_downtime_hrs} / {business_hours_per_year})</f>
        <v/>
      </c>
      <c r="D33" s="35" t="inlineStr">
        <is>
          <t>USD/year</t>
        </is>
      </c>
    </row>
    <row r="34">
      <c r="B34" s="3" t="inlineStr">
        <is>
          <t xml:space="preserve">    Backbase Impact</t>
        </is>
      </c>
      <c r="C34" s="36" t="n">
        <v>0.3</v>
      </c>
      <c r="D34" s="31" t="inlineStr">
        <is>
          <t>% of baseline captured by Backbase</t>
        </is>
      </c>
      <c r="E34" s="37" t="inlineStr">
        <is>
          <t>⚠ FALLBACK — scenario linkage missing, defaulted to 30%</t>
        </is>
      </c>
    </row>
    <row r="35">
      <c r="B35" s="38" t="inlineStr">
        <is>
          <t xml:space="preserve">    Annual Benefit</t>
        </is>
      </c>
      <c r="C35" s="39">
        <f>C33*C34</f>
        <v/>
      </c>
      <c r="D35" s="40" t="inlineStr">
        <is>
          <t>USD/year (scenario-adjusted)</t>
        </is>
      </c>
    </row>
    <row r="38">
      <c r="B38" s="38" t="inlineStr">
        <is>
          <t>Total: Uptime Revenue Protection</t>
        </is>
      </c>
      <c r="C38" s="39">
        <f>C35</f>
        <v/>
      </c>
    </row>
    <row r="41">
      <c r="B41" s="32" t="inlineStr">
        <is>
          <t>Release Velocity &amp; Time-to-Market Acceleration</t>
        </is>
      </c>
    </row>
    <row r="42">
      <c r="B42" s="30" t="inlineStr">
        <is>
          <t>Revenue Generation</t>
        </is>
      </c>
    </row>
    <row r="43">
      <c r="B43" s="41" t="inlineStr">
        <is>
          <t xml:space="preserve">  L4_D1</t>
        </is>
      </c>
      <c r="D43" s="31" t="inlineStr">
        <is>
          <t>Revenue</t>
        </is>
      </c>
    </row>
    <row r="44">
      <c r="B44" s="16" t="inlineStr">
        <is>
          <t>Factor</t>
        </is>
      </c>
      <c r="C44" s="16" t="inlineStr">
        <is>
          <t>Value</t>
        </is>
      </c>
      <c r="D44" s="16" t="inlineStr">
        <is>
          <t>Unit</t>
        </is>
      </c>
    </row>
    <row r="45">
      <c r="B45" s="3" t="inlineStr">
        <is>
          <t xml:space="preserve">    Baseline</t>
        </is>
      </c>
      <c r="C45" s="34">
        <f>{delayed_features_per_year} * {avg_delay_months} * ({revenue_per_feature} / 12)</f>
        <v/>
      </c>
      <c r="D45" s="35" t="inlineStr">
        <is>
          <t>USD/year</t>
        </is>
      </c>
    </row>
    <row r="46">
      <c r="B46" s="3" t="inlineStr">
        <is>
          <t xml:space="preserve">    Backbase Impact</t>
        </is>
      </c>
      <c r="C46" s="36" t="n">
        <v>0.3</v>
      </c>
      <c r="D46" s="31" t="inlineStr">
        <is>
          <t>% of baseline captured by Backbase</t>
        </is>
      </c>
      <c r="E46" s="37" t="inlineStr">
        <is>
          <t>⚠ FALLBACK — scenario linkage missing, defaulted to 30%</t>
        </is>
      </c>
    </row>
    <row r="47">
      <c r="B47" s="38" t="inlineStr">
        <is>
          <t xml:space="preserve">    Annual Benefit</t>
        </is>
      </c>
      <c r="C47" s="39">
        <f>C45*C46</f>
        <v/>
      </c>
      <c r="D47" s="40" t="inlineStr">
        <is>
          <t>USD/year (scenario-adjusted)</t>
        </is>
      </c>
    </row>
    <row r="50">
      <c r="B50" s="38" t="inlineStr">
        <is>
          <t>Total: Release Velocity &amp; Time-to-Market Acceleration</t>
        </is>
      </c>
      <c r="C50" s="39">
        <f>C47</f>
        <v/>
      </c>
    </row>
    <row r="53">
      <c r="B53" s="32" t="inlineStr">
        <is>
          <t>Infrastructure License &amp; Tooling Rationalization</t>
        </is>
      </c>
    </row>
    <row r="54">
      <c r="B54" s="29" t="inlineStr">
        <is>
          <t>Cost Reduction</t>
        </is>
      </c>
    </row>
    <row r="55">
      <c r="B55" s="33" t="inlineStr">
        <is>
          <t xml:space="preserve">  L5_D1</t>
        </is>
      </c>
      <c r="D55" s="31" t="inlineStr">
        <is>
          <t>Cost</t>
        </is>
      </c>
    </row>
    <row r="56">
      <c r="B56" s="16" t="inlineStr">
        <is>
          <t>Factor</t>
        </is>
      </c>
      <c r="C56" s="16" t="inlineStr">
        <is>
          <t>Value</t>
        </is>
      </c>
      <c r="D56" s="16" t="inlineStr">
        <is>
          <t>Unit</t>
        </is>
      </c>
    </row>
    <row r="57">
      <c r="B57" s="3" t="inlineStr">
        <is>
          <t xml:space="preserve">    Baseline</t>
        </is>
      </c>
      <c r="C57" s="34">
        <f>{annual_infrastructure_costs}</f>
        <v/>
      </c>
      <c r="D57" s="35" t="inlineStr">
        <is>
          <t>USD/year</t>
        </is>
      </c>
    </row>
    <row r="58">
      <c r="B58" s="3" t="inlineStr">
        <is>
          <t xml:space="preserve">    Backbase Impact</t>
        </is>
      </c>
      <c r="C58" s="36" t="n">
        <v>0.3</v>
      </c>
      <c r="D58" s="31" t="inlineStr">
        <is>
          <t>% of baseline captured by Backbase</t>
        </is>
      </c>
      <c r="E58" s="37" t="inlineStr">
        <is>
          <t>⚠ FALLBACK — scenario linkage missing, defaulted to 30%</t>
        </is>
      </c>
    </row>
    <row r="59">
      <c r="B59" s="38" t="inlineStr">
        <is>
          <t xml:space="preserve">    Annual Benefit</t>
        </is>
      </c>
      <c r="C59" s="39">
        <f>C57*C58</f>
        <v/>
      </c>
      <c r="D59" s="40" t="inlineStr">
        <is>
          <t>USD/year (scenario-adjusted)</t>
        </is>
      </c>
    </row>
    <row r="62">
      <c r="B62" s="38" t="inlineStr">
        <is>
          <t>Total: Infrastructure License &amp; Tooling Rationalization</t>
        </is>
      </c>
      <c r="C62" s="39">
        <f>C59</f>
        <v/>
      </c>
    </row>
    <row r="65">
      <c r="B65" s="32" t="inlineStr">
        <is>
          <t>Tech Debt Accumulation Avoidance</t>
        </is>
      </c>
    </row>
    <row r="66">
      <c r="B66" s="29" t="inlineStr">
        <is>
          <t>Cost Reduction</t>
        </is>
      </c>
    </row>
    <row r="67">
      <c r="B67" s="33" t="inlineStr">
        <is>
          <t xml:space="preserve">  L7_D1</t>
        </is>
      </c>
      <c r="D67" s="31" t="inlineStr">
        <is>
          <t>Cost</t>
        </is>
      </c>
    </row>
    <row r="68">
      <c r="B68" s="16" t="inlineStr">
        <is>
          <t>Factor</t>
        </is>
      </c>
      <c r="C68" s="16" t="inlineStr">
        <is>
          <t>Value</t>
        </is>
      </c>
      <c r="D68" s="16" t="inlineStr">
        <is>
          <t>Unit</t>
        </is>
      </c>
    </row>
    <row r="69">
      <c r="B69" s="3" t="inlineStr">
        <is>
          <t xml:space="preserve">    Baseline</t>
        </is>
      </c>
      <c r="C69" s="34">
        <f>({major_upgrade_cost} / {upgrade_cycle_years}) + {annual_tech_debt_carrying_cost}</f>
        <v/>
      </c>
      <c r="D69" s="35" t="inlineStr">
        <is>
          <t>USD/year</t>
        </is>
      </c>
    </row>
    <row r="70">
      <c r="B70" s="3" t="inlineStr">
        <is>
          <t xml:space="preserve">    Backbase Impact</t>
        </is>
      </c>
      <c r="C70" s="36" t="n">
        <v>0.3</v>
      </c>
      <c r="D70" s="31" t="inlineStr">
        <is>
          <t>% of baseline captured by Backbase</t>
        </is>
      </c>
      <c r="E70" s="37" t="inlineStr">
        <is>
          <t>⚠ FALLBACK — scenario linkage missing, defaulted to 30%</t>
        </is>
      </c>
    </row>
    <row r="71">
      <c r="B71" s="38" t="inlineStr">
        <is>
          <t xml:space="preserve">    Annual Benefit</t>
        </is>
      </c>
      <c r="C71" s="39">
        <f>C69*C70</f>
        <v/>
      </c>
      <c r="D71" s="40" t="inlineStr">
        <is>
          <t>USD/year (scenario-adjusted)</t>
        </is>
      </c>
    </row>
    <row r="74">
      <c r="B74" s="38" t="inlineStr">
        <is>
          <t>Total: Tech Debt Accumulation Avoidance</t>
        </is>
      </c>
      <c r="C74" s="39">
        <f>C71</f>
        <v/>
      </c>
    </row>
    <row r="77">
      <c r="B77" s="21" t="inlineStr">
        <is>
          <t>GRAND TOTAL — ALL LEVERS</t>
        </is>
      </c>
    </row>
    <row r="78">
      <c r="B78" s="16" t="inlineStr"/>
      <c r="C78" s="16" t="inlineStr">
        <is>
          <t>Annual Benefit</t>
        </is>
      </c>
      <c r="D78" s="16" t="inlineStr"/>
    </row>
    <row r="79">
      <c r="B79" s="4" t="inlineStr">
        <is>
          <t>Total Annual Benefit (Scenario-Adjusted, Steady State)</t>
        </is>
      </c>
      <c r="C79" s="42">
        <f>C14+C26+C38+C50+C62+C74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2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>
      <c r="B1" s="9" t="inlineStr">
        <is>
          <t>Customer Servicing — Channel Analysis</t>
        </is>
      </c>
    </row>
    <row r="3">
      <c r="B3" s="12" t="inlineStr">
        <is>
          <t>Vol Saving = Baseline × Vol Deflection. Time Saving = Remaining Vol × Time × Time Reduction × Rate. Total = Vol + Time Saving.</t>
        </is>
      </c>
    </row>
    <row r="5">
      <c r="B5" s="16" t="inlineStr">
        <is>
          <t>Task</t>
        </is>
      </c>
      <c r="C5" s="16" t="inlineStr">
        <is>
          <t>Volume</t>
        </is>
      </c>
      <c r="D5" s="16" t="inlineStr">
        <is>
          <t>Time (hrs)</t>
        </is>
      </c>
      <c r="E5" s="16" t="inlineStr">
        <is>
          <t>Rate</t>
        </is>
      </c>
      <c r="F5" s="16" t="inlineStr">
        <is>
          <t>Baseline</t>
        </is>
      </c>
      <c r="G5" s="16" t="inlineStr">
        <is>
          <t>Vol Deflection</t>
        </is>
      </c>
      <c r="H5" s="16" t="inlineStr">
        <is>
          <t>Time Reduction</t>
        </is>
      </c>
      <c r="I5" s="16" t="inlineStr">
        <is>
          <t>Vol Saving</t>
        </is>
      </c>
      <c r="J5" s="16" t="inlineStr">
        <is>
          <t>Time Saving</t>
        </is>
      </c>
      <c r="K5" s="16" t="inlineStr">
        <is>
          <t>Total Saved</t>
        </is>
      </c>
      <c r="L5" s="16" t="inlineStr">
        <is>
          <t>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9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45" customWidth="1" min="5" max="5"/>
    <col width="25" customWidth="1" min="6" max="6"/>
  </cols>
  <sheetData>
    <row r="2">
      <c r="B2" s="9" t="inlineStr">
        <is>
          <t>Model Inputs</t>
        </is>
      </c>
    </row>
    <row r="3">
      <c r="B3" s="12" t="inlineStr">
        <is>
          <t>Blue cells are editable. Change values and the model recalculates.</t>
        </is>
      </c>
    </row>
    <row r="5">
      <c r="B5" s="29" t="inlineStr">
        <is>
          <t>Active Scenario</t>
        </is>
      </c>
      <c r="C5" s="30">
        <f>IF('Cashflows'!$C$5=1,"Conservative",IF('Cashflows'!$C$5=2,"Moderate","Aggressive"))</f>
        <v/>
      </c>
      <c r="D5" s="31" t="inlineStr">
        <is>
          <t>(Change scenario on Cashflows sheet)</t>
        </is>
      </c>
    </row>
    <row r="7">
      <c r="B7" s="13" t="inlineStr">
        <is>
          <t>BASIC INFORMATION</t>
        </is>
      </c>
    </row>
    <row r="8">
      <c r="B8" s="16" t="inlineStr">
        <is>
          <t>Input</t>
        </is>
      </c>
      <c r="C8" s="16" t="inlineStr">
        <is>
          <t>Value</t>
        </is>
      </c>
      <c r="D8" s="16" t="inlineStr">
        <is>
          <t>Conf.</t>
        </is>
      </c>
      <c r="E8" s="16" t="inlineStr">
        <is>
          <t>Assumption/Comment</t>
        </is>
      </c>
      <c r="F8" s="16" t="inlineStr">
        <is>
          <t>Source</t>
        </is>
      </c>
    </row>
    <row r="10">
      <c r="B10" s="13" t="inlineStr">
        <is>
          <t>FINANCIAL PARAMETERS</t>
        </is>
      </c>
    </row>
    <row r="11">
      <c r="B11" t="inlineStr">
        <is>
          <t>Discount Rate (WACC)</t>
        </is>
      </c>
      <c r="C11" s="43" t="n">
        <v>0.1</v>
      </c>
    </row>
    <row r="12">
      <c r="B12" t="inlineStr">
        <is>
          <t>Analysis Period (Years)</t>
        </is>
      </c>
      <c r="C12" t="n">
        <v>5</v>
      </c>
    </row>
    <row r="13">
      <c r="B13" t="inlineStr">
        <is>
          <t>YoY Growth Rate</t>
        </is>
      </c>
      <c r="C13" s="43" t="n">
        <v>0.08</v>
      </c>
    </row>
    <row r="15">
      <c r="B15" s="13" t="inlineStr">
        <is>
          <t>LEVER GROUP INPUTS</t>
        </is>
      </c>
    </row>
    <row r="16">
      <c r="B16" s="29" t="inlineStr">
        <is>
          <t>IT Operations FTE Redeployment</t>
        </is>
      </c>
    </row>
    <row r="17">
      <c r="B17" s="44" t="inlineStr">
        <is>
          <t xml:space="preserve">  L1_D1</t>
        </is>
      </c>
    </row>
    <row r="18">
      <c r="B18" t="inlineStr">
        <is>
          <t xml:space="preserve">    Baseline Annual</t>
        </is>
      </c>
      <c r="C18" s="45">
        <f>{it_platform_ftes} * {loaded_annual_fte_cost}</f>
        <v/>
      </c>
    </row>
    <row r="19">
      <c r="B19" t="inlineStr">
        <is>
          <t xml:space="preserve">    Annual Benefit (Steady State)</t>
        </is>
      </c>
      <c r="C19" s="46" t="n">
        <v>0</v>
      </c>
    </row>
    <row r="22">
      <c r="B22" s="29" t="inlineStr">
        <is>
          <t>Compliance &amp; Security Cost Avoidance</t>
        </is>
      </c>
    </row>
    <row r="23">
      <c r="B23" s="44" t="inlineStr">
        <is>
          <t xml:space="preserve">  L2_D1</t>
        </is>
      </c>
    </row>
    <row r="24">
      <c r="B24" t="inlineStr">
        <is>
          <t xml:space="preserve">    Baseline Annual</t>
        </is>
      </c>
      <c r="C24" s="45">
        <f>{security_ftes} * {loaded_annual_fte_cost} + {annual_audit_costs}</f>
        <v/>
      </c>
    </row>
    <row r="25">
      <c r="B25" t="inlineStr">
        <is>
          <t xml:space="preserve">    Annual Benefit (Steady State)</t>
        </is>
      </c>
      <c r="C25" s="46" t="n">
        <v>0</v>
      </c>
    </row>
    <row r="28">
      <c r="B28" s="29" t="inlineStr">
        <is>
          <t>Uptime Revenue Protection</t>
        </is>
      </c>
    </row>
    <row r="29">
      <c r="B29" s="44" t="inlineStr">
        <is>
          <t xml:space="preserve">  L3_D1</t>
        </is>
      </c>
    </row>
    <row r="30">
      <c r="B30" t="inlineStr">
        <is>
          <t xml:space="preserve">    Baseline Annual</t>
        </is>
      </c>
      <c r="C30" s="45">
        <f>{annual_revenue} * {digital_adoption_rate} * {downtime_revenue_risk_factor} * ({current_downtime_hrs} / {business_hours_per_year})</f>
        <v/>
      </c>
    </row>
    <row r="31">
      <c r="B31" t="inlineStr">
        <is>
          <t xml:space="preserve">    Annual Benefit (Steady State)</t>
        </is>
      </c>
      <c r="C31" s="46" t="n">
        <v>0</v>
      </c>
    </row>
    <row r="34">
      <c r="B34" s="29" t="inlineStr">
        <is>
          <t>Release Velocity &amp; Time-to-Market Acceleration</t>
        </is>
      </c>
    </row>
    <row r="35">
      <c r="B35" s="44" t="inlineStr">
        <is>
          <t xml:space="preserve">  L4_D1</t>
        </is>
      </c>
    </row>
    <row r="36">
      <c r="B36" t="inlineStr">
        <is>
          <t xml:space="preserve">    Baseline Annual</t>
        </is>
      </c>
      <c r="C36" s="45">
        <f>{delayed_features_per_year} * {avg_delay_months} * ({revenue_per_feature} / 12)</f>
        <v/>
      </c>
    </row>
    <row r="37">
      <c r="B37" t="inlineStr">
        <is>
          <t xml:space="preserve">    Annual Benefit (Steady State)</t>
        </is>
      </c>
      <c r="C37" s="46" t="n">
        <v>0</v>
      </c>
    </row>
    <row r="40">
      <c r="B40" s="29" t="inlineStr">
        <is>
          <t>Infrastructure License &amp; Tooling Rationalization</t>
        </is>
      </c>
    </row>
    <row r="41">
      <c r="B41" s="44" t="inlineStr">
        <is>
          <t xml:space="preserve">  L5_D1</t>
        </is>
      </c>
    </row>
    <row r="42">
      <c r="B42" t="inlineStr">
        <is>
          <t xml:space="preserve">    Baseline Annual</t>
        </is>
      </c>
      <c r="C42" s="45">
        <f>{annual_infrastructure_costs}</f>
        <v/>
      </c>
    </row>
    <row r="43">
      <c r="B43" t="inlineStr">
        <is>
          <t xml:space="preserve">    Annual Benefit (Steady State)</t>
        </is>
      </c>
      <c r="C43" s="46" t="n">
        <v>0</v>
      </c>
    </row>
    <row r="46">
      <c r="B46" s="29" t="inlineStr">
        <is>
          <t>Tech Debt Accumulation Avoidance</t>
        </is>
      </c>
    </row>
    <row r="47">
      <c r="B47" s="44" t="inlineStr">
        <is>
          <t xml:space="preserve">  L7_D1</t>
        </is>
      </c>
    </row>
    <row r="48">
      <c r="B48" t="inlineStr">
        <is>
          <t xml:space="preserve">    Baseline Annual</t>
        </is>
      </c>
      <c r="C48" s="45">
        <f>({major_upgrade_cost} / {upgrade_cycle_years}) + {annual_tech_debt_carrying_cost}</f>
        <v/>
      </c>
    </row>
    <row r="49">
      <c r="B49" t="inlineStr">
        <is>
          <t xml:space="preserve">    Annual Benefit (Steady State)</t>
        </is>
      </c>
      <c r="C49" s="46" t="n">
        <v>0</v>
      </c>
    </row>
    <row r="53">
      <c r="B53" s="13" t="inlineStr">
        <is>
          <t>ACTIVE BACKBASE IMPACTS (auto-selected from scenario)</t>
        </is>
      </c>
    </row>
    <row r="54">
      <c r="B54" t="inlineStr">
        <is>
          <t>L1 Fte Redeployment</t>
        </is>
      </c>
      <c r="C54" s="24">
        <f>INDEX('Scenario Data'!$C$24:$E$24,1,'Cashflows'!$C$5)</f>
        <v/>
      </c>
    </row>
    <row r="55">
      <c r="B55" t="inlineStr">
        <is>
          <t>L2 Compliance Avoidance</t>
        </is>
      </c>
      <c r="C55" s="24">
        <f>INDEX('Scenario Data'!$C$25:$E$25,1,'Cashflows'!$C$5)</f>
        <v/>
      </c>
    </row>
    <row r="56">
      <c r="B56" t="inlineStr">
        <is>
          <t>L3 Uptime Revenue Protection</t>
        </is>
      </c>
      <c r="C56" s="24">
        <f>INDEX('Scenario Data'!$C$26:$E$26,1,'Cashflows'!$C$5)</f>
        <v/>
      </c>
    </row>
    <row r="57">
      <c r="B57" t="inlineStr">
        <is>
          <t>L4 Release Velocity</t>
        </is>
      </c>
      <c r="C57" s="24">
        <f>INDEX('Scenario Data'!$C$27:$E$27,1,'Cashflows'!$C$5)</f>
        <v/>
      </c>
    </row>
    <row r="58">
      <c r="B58" t="inlineStr">
        <is>
          <t>L5 License Rationalization</t>
        </is>
      </c>
      <c r="C58" s="24">
        <f>INDEX('Scenario Data'!$C$28:$E$28,1,'Cashflows'!$C$5)</f>
        <v/>
      </c>
    </row>
    <row r="59">
      <c r="B59" t="inlineStr">
        <is>
          <t>L7 Tech Debt Avoidance</t>
        </is>
      </c>
      <c r="C59" s="24">
        <f>INDEX('Scenario Data'!$C$29:$E$29,1,'Cashflows'!$C$5)</f>
        <v/>
      </c>
    </row>
    <row r="62">
      <c r="B62" s="13" t="inlineStr">
        <is>
          <t>INVESTMENT</t>
        </is>
      </c>
    </row>
    <row r="63">
      <c r="B63" s="3" t="inlineStr">
        <is>
          <t>License</t>
        </is>
      </c>
    </row>
    <row r="64">
      <c r="B64" t="inlineStr">
        <is>
          <t xml:space="preserve">  Year 1</t>
        </is>
      </c>
      <c r="C64" s="47" t="n">
        <v>350000</v>
      </c>
    </row>
    <row r="65">
      <c r="B65" t="inlineStr">
        <is>
          <t xml:space="preserve">  Year 2</t>
        </is>
      </c>
      <c r="C65" s="47" t="n">
        <v>350000</v>
      </c>
    </row>
    <row r="66">
      <c r="B66" t="inlineStr">
        <is>
          <t xml:space="preserve">  Year 3</t>
        </is>
      </c>
      <c r="C66" s="47" t="n">
        <v>350000</v>
      </c>
    </row>
    <row r="67">
      <c r="B67" t="inlineStr">
        <is>
          <t xml:space="preserve">  Year 4</t>
        </is>
      </c>
      <c r="C67" s="47" t="n">
        <v>350000</v>
      </c>
    </row>
    <row r="68">
      <c r="B68" t="inlineStr">
        <is>
          <t xml:space="preserve">  Year 5</t>
        </is>
      </c>
      <c r="C68" s="47" t="n">
        <v>350000</v>
      </c>
    </row>
    <row r="70">
      <c r="B70" s="3" t="inlineStr">
        <is>
          <t>Implementation</t>
        </is>
      </c>
    </row>
    <row r="71">
      <c r="B71" t="inlineStr">
        <is>
          <t xml:space="preserve">  Year 1</t>
        </is>
      </c>
      <c r="C71" s="47" t="n">
        <v>500000</v>
      </c>
    </row>
    <row r="72">
      <c r="B72" t="inlineStr">
        <is>
          <t xml:space="preserve">  Year 2</t>
        </is>
      </c>
      <c r="C72" s="47" t="n">
        <v>200000</v>
      </c>
    </row>
    <row r="73">
      <c r="B73" t="inlineStr">
        <is>
          <t xml:space="preserve">  Year 3</t>
        </is>
      </c>
      <c r="C73" s="47" t="n">
        <v>0</v>
      </c>
    </row>
    <row r="74">
      <c r="B74" t="inlineStr">
        <is>
          <t xml:space="preserve">  Year 4</t>
        </is>
      </c>
      <c r="C74" s="47" t="n">
        <v>0</v>
      </c>
    </row>
    <row r="75">
      <c r="B75" t="inlineStr">
        <is>
          <t xml:space="preserve">  Year 5</t>
        </is>
      </c>
      <c r="C75" s="47" t="n">
        <v>0</v>
      </c>
    </row>
    <row r="78">
      <c r="B78" s="13" t="inlineStr">
        <is>
          <t>ACTIVE CURVES (auto-selected from scenario)</t>
        </is>
      </c>
    </row>
    <row r="79">
      <c r="B79" s="31" t="inlineStr">
        <is>
          <t>These cells use INDEX formulas — they update when you change the scenario on the Cashflows sheet.</t>
        </is>
      </c>
    </row>
    <row r="80">
      <c r="B80" s="3" t="inlineStr">
        <is>
          <t>Default — Implementation</t>
        </is>
      </c>
    </row>
    <row r="81">
      <c r="B81" t="inlineStr">
        <is>
          <t xml:space="preserve">  Year 1</t>
        </is>
      </c>
      <c r="C81" s="48">
        <f>INDEX('Scenario Data'!$C$9:$E$9,1,'Cashflows'!$C$5)</f>
        <v/>
      </c>
    </row>
    <row r="82">
      <c r="B82" t="inlineStr">
        <is>
          <t xml:space="preserve">  Year 2</t>
        </is>
      </c>
      <c r="C82" s="48">
        <f>INDEX('Scenario Data'!$C$10:$E$10,1,'Cashflows'!$C$5)</f>
        <v/>
      </c>
    </row>
    <row r="83">
      <c r="B83" t="inlineStr">
        <is>
          <t xml:space="preserve">  Year 3</t>
        </is>
      </c>
      <c r="C83" s="48">
        <f>INDEX('Scenario Data'!$C$11:$E$11,1,'Cashflows'!$C$5)</f>
        <v/>
      </c>
    </row>
    <row r="84">
      <c r="B84" t="inlineStr">
        <is>
          <t xml:space="preserve">  Year 4</t>
        </is>
      </c>
      <c r="C84" s="48">
        <f>INDEX('Scenario Data'!$C$12:$E$12,1,'Cashflows'!$C$5)</f>
        <v/>
      </c>
    </row>
    <row r="85">
      <c r="B85" t="inlineStr">
        <is>
          <t xml:space="preserve">  Year 5</t>
        </is>
      </c>
      <c r="C85" s="48">
        <f>INDEX('Scenario Data'!$C$13:$E$13,1,'Cashflows'!$C$5)</f>
        <v/>
      </c>
    </row>
    <row r="86">
      <c r="B86" s="3" t="inlineStr">
        <is>
          <t>Default — Effectiveness</t>
        </is>
      </c>
    </row>
    <row r="87">
      <c r="B87" t="inlineStr">
        <is>
          <t xml:space="preserve">  Year 1</t>
        </is>
      </c>
      <c r="C87" s="48">
        <f>INDEX('Scenario Data'!$C$17:$E$17,1,'Cashflows'!$C$5)</f>
        <v/>
      </c>
    </row>
    <row r="88">
      <c r="B88" t="inlineStr">
        <is>
          <t xml:space="preserve">  Year 2</t>
        </is>
      </c>
      <c r="C88" s="48">
        <f>INDEX('Scenario Data'!$C$18:$E$18,1,'Cashflows'!$C$5)</f>
        <v/>
      </c>
    </row>
    <row r="89">
      <c r="B89" t="inlineStr">
        <is>
          <t xml:space="preserve">  Year 3</t>
        </is>
      </c>
      <c r="C89" s="48">
        <f>INDEX('Scenario Data'!$C$19:$E$19,1,'Cashflows'!$C$5)</f>
        <v/>
      </c>
    </row>
    <row r="90">
      <c r="B90" t="inlineStr">
        <is>
          <t xml:space="preserve">  Year 4</t>
        </is>
      </c>
      <c r="C90" s="48">
        <f>INDEX('Scenario Data'!$C$20:$E$20,1,'Cashflows'!$C$5)</f>
        <v/>
      </c>
    </row>
    <row r="91">
      <c r="B91" t="inlineStr">
        <is>
          <t xml:space="preserve">  Year 5</t>
        </is>
      </c>
      <c r="C91" s="48">
        <f>INDEX('Scenario Data'!$C$21:$E$21,1,'Cashflows'!$C$5)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9" t="inlineStr">
        <is>
          <t>Scenario Definitions</t>
        </is>
      </c>
    </row>
    <row r="3">
      <c r="B3" s="12" t="inlineStr">
        <is>
          <t>Edit values here to customize scenarios. All lever sheets reference this table.</t>
        </is>
      </c>
    </row>
    <row r="5">
      <c r="B5" s="16" t="inlineStr">
        <is>
          <t>Parameter</t>
        </is>
      </c>
      <c r="C5" s="16" t="inlineStr">
        <is>
          <t>Conservative</t>
        </is>
      </c>
      <c r="D5" s="16" t="inlineStr">
        <is>
          <t>Moderate</t>
        </is>
      </c>
      <c r="E5" s="16" t="inlineStr">
        <is>
          <t>Aggressive</t>
        </is>
      </c>
    </row>
    <row r="7">
      <c r="B7" s="13" t="inlineStr">
        <is>
          <t>IMPLEMENTATION CURVES</t>
        </is>
      </c>
    </row>
    <row r="8">
      <c r="B8" s="3" t="inlineStr">
        <is>
          <t>Default</t>
        </is>
      </c>
    </row>
    <row r="9">
      <c r="B9" t="inlineStr">
        <is>
          <t xml:space="preserve">  Year 1</t>
        </is>
      </c>
      <c r="C9" s="49" t="n">
        <v>0.15</v>
      </c>
      <c r="D9" s="49" t="n">
        <v>0.25</v>
      </c>
      <c r="E9" s="49" t="n">
        <v>0.35</v>
      </c>
    </row>
    <row r="10">
      <c r="B10" t="inlineStr">
        <is>
          <t xml:space="preserve">  Year 2</t>
        </is>
      </c>
      <c r="C10" s="49" t="n">
        <v>0.65</v>
      </c>
      <c r="D10" s="49" t="n">
        <v>0.75</v>
      </c>
      <c r="E10" s="49" t="n">
        <v>0.85</v>
      </c>
    </row>
    <row r="11">
      <c r="B11" t="inlineStr">
        <is>
          <t xml:space="preserve">  Year 3</t>
        </is>
      </c>
      <c r="C11" s="49" t="n">
        <v>0.85</v>
      </c>
      <c r="D11" s="49" t="n">
        <v>0.95</v>
      </c>
      <c r="E11" s="49" t="n">
        <v>1</v>
      </c>
    </row>
    <row r="12">
      <c r="B12" t="inlineStr">
        <is>
          <t xml:space="preserve">  Year 4</t>
        </is>
      </c>
      <c r="C12" s="49" t="n">
        <v>1</v>
      </c>
      <c r="D12" s="49" t="n">
        <v>1</v>
      </c>
      <c r="E12" s="49" t="n">
        <v>1</v>
      </c>
    </row>
    <row r="13">
      <c r="B13" t="inlineStr">
        <is>
          <t xml:space="preserve">  Year 5</t>
        </is>
      </c>
      <c r="C13" s="49" t="n">
        <v>1</v>
      </c>
      <c r="D13" s="49" t="n">
        <v>1</v>
      </c>
      <c r="E13" s="49" t="n">
        <v>1</v>
      </c>
    </row>
    <row r="15">
      <c r="B15" s="13" t="inlineStr">
        <is>
          <t>EFFECTIVENESS CURVES</t>
        </is>
      </c>
    </row>
    <row r="16">
      <c r="B16" s="3" t="inlineStr">
        <is>
          <t>Default</t>
        </is>
      </c>
    </row>
    <row r="17">
      <c r="B17" t="inlineStr">
        <is>
          <t xml:space="preserve">  Year 1</t>
        </is>
      </c>
      <c r="C17" s="49" t="n">
        <v>0.15</v>
      </c>
      <c r="D17" s="49" t="n">
        <v>0.15</v>
      </c>
      <c r="E17" s="49" t="n">
        <v>0.15</v>
      </c>
    </row>
    <row r="18">
      <c r="B18" t="inlineStr">
        <is>
          <t xml:space="preserve">  Year 2</t>
        </is>
      </c>
      <c r="C18" s="49" t="n">
        <v>0.35</v>
      </c>
      <c r="D18" s="49" t="n">
        <v>0.35</v>
      </c>
      <c r="E18" s="49" t="n">
        <v>0.35</v>
      </c>
    </row>
    <row r="19">
      <c r="B19" t="inlineStr">
        <is>
          <t xml:space="preserve">  Year 3</t>
        </is>
      </c>
      <c r="C19" s="49" t="n">
        <v>0.6</v>
      </c>
      <c r="D19" s="49" t="n">
        <v>0.6</v>
      </c>
      <c r="E19" s="49" t="n">
        <v>0.6</v>
      </c>
    </row>
    <row r="20">
      <c r="B20" t="inlineStr">
        <is>
          <t xml:space="preserve">  Year 4</t>
        </is>
      </c>
      <c r="C20" s="49" t="n">
        <v>0.85</v>
      </c>
      <c r="D20" s="49" t="n">
        <v>0.85</v>
      </c>
      <c r="E20" s="49" t="n">
        <v>0.85</v>
      </c>
    </row>
    <row r="21">
      <c r="B21" t="inlineStr">
        <is>
          <t xml:space="preserve">  Year 5</t>
        </is>
      </c>
      <c r="C21" s="49" t="n">
        <v>1</v>
      </c>
      <c r="D21" s="49" t="n">
        <v>1</v>
      </c>
      <c r="E21" s="49" t="n">
        <v>1</v>
      </c>
    </row>
    <row r="23">
      <c r="B23" s="13" t="inlineStr">
        <is>
          <t>BACKBASE IMPACTS</t>
        </is>
      </c>
    </row>
    <row r="24">
      <c r="B24" t="inlineStr">
        <is>
          <t>L1 Fte Redeployment</t>
        </is>
      </c>
      <c r="C24" s="43" t="n">
        <v>0.21</v>
      </c>
      <c r="D24" s="43" t="n">
        <v>0.28</v>
      </c>
      <c r="E24" s="43" t="n">
        <v>0.35</v>
      </c>
    </row>
    <row r="25">
      <c r="B25" t="inlineStr">
        <is>
          <t>L2 Compliance Avoidance</t>
        </is>
      </c>
      <c r="C25" s="43" t="n">
        <v>0.15</v>
      </c>
      <c r="D25" s="43" t="n">
        <v>0.2</v>
      </c>
      <c r="E25" s="43" t="n">
        <v>0.25</v>
      </c>
    </row>
    <row r="26">
      <c r="B26" t="inlineStr">
        <is>
          <t>L3 Uptime Revenue Protection</t>
        </is>
      </c>
      <c r="C26" s="43" t="n">
        <v>0.09</v>
      </c>
      <c r="D26" s="43" t="n">
        <v>0.12</v>
      </c>
      <c r="E26" s="43" t="n">
        <v>0.15</v>
      </c>
    </row>
    <row r="27">
      <c r="B27" t="inlineStr">
        <is>
          <t>L4 Release Velocity</t>
        </is>
      </c>
      <c r="C27" s="43" t="n">
        <v>0.08</v>
      </c>
      <c r="D27" s="43" t="n">
        <v>0.1</v>
      </c>
      <c r="E27" s="43" t="n">
        <v>0.13</v>
      </c>
    </row>
    <row r="28">
      <c r="B28" t="inlineStr">
        <is>
          <t>L5 License Rationalization</t>
        </is>
      </c>
      <c r="C28" s="43" t="n">
        <v>0.18</v>
      </c>
      <c r="D28" s="43" t="n">
        <v>0.24</v>
      </c>
      <c r="E28" s="43" t="n">
        <v>0.3</v>
      </c>
    </row>
    <row r="29">
      <c r="B29" t="inlineStr">
        <is>
          <t>L7 Tech Debt Avoidance</t>
        </is>
      </c>
      <c r="C29" s="43" t="n">
        <v>0.09</v>
      </c>
      <c r="D29" s="43" t="n">
        <v>0.12</v>
      </c>
      <c r="E29" s="43" t="n">
        <v>0.15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4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2" customWidth="1" min="4" max="4"/>
    <col width="55" customWidth="1" min="5" max="5"/>
  </cols>
  <sheetData>
    <row r="1">
      <c r="B1" s="9" t="inlineStr">
        <is>
          <t>Bank Profile</t>
        </is>
      </c>
    </row>
    <row r="3">
      <c r="B3" s="13" t="inlineStr">
        <is>
          <t>BANK IDENTITY</t>
        </is>
      </c>
    </row>
    <row r="4">
      <c r="B4" s="3" t="inlineStr">
        <is>
          <t>Bank Name</t>
        </is>
      </c>
      <c r="C4" t="inlineStr">
        <is>
          <t>Generic Tier 2 Commercial Bank (Southeast Asia)</t>
        </is>
      </c>
    </row>
    <row r="5">
      <c r="B5" s="3" t="inlineStr">
        <is>
          <t>Country</t>
        </is>
      </c>
      <c r="C5" t="inlineStr"/>
    </row>
    <row r="6">
      <c r="B6" s="3" t="inlineStr">
        <is>
          <t>Currency</t>
        </is>
      </c>
      <c r="C6" t="inlineStr">
        <is>
          <t>USD</t>
        </is>
      </c>
    </row>
    <row r="7">
      <c r="B7" s="3" t="inlineStr">
        <is>
          <t>Stock Ticker</t>
        </is>
      </c>
      <c r="C7" t="inlineStr">
        <is>
          <t>N/A</t>
        </is>
      </c>
    </row>
    <row r="8">
      <c r="B8" s="3" t="inlineStr">
        <is>
          <t>Report Year</t>
        </is>
      </c>
      <c r="C8" t="inlineStr"/>
    </row>
    <row r="9">
      <c r="B9" s="3" t="inlineStr">
        <is>
          <t>Data Sources</t>
        </is>
      </c>
      <c r="C9" t="inlineStr"/>
    </row>
    <row r="11">
      <c r="B11" s="3" t="inlineStr">
        <is>
          <t>Market Context Status</t>
        </is>
      </c>
      <c r="C11" s="6" t="inlineStr">
        <is>
          <t>NOT_RUN</t>
        </is>
      </c>
    </row>
    <row r="13">
      <c r="B13" s="13" t="inlineStr">
        <is>
          <t>KEY FINANCIAL METRICS</t>
        </is>
      </c>
    </row>
    <row r="14">
      <c r="B14" s="16" t="inlineStr">
        <is>
          <t>Metric</t>
        </is>
      </c>
      <c r="C14" s="16" t="inlineStr">
        <is>
          <t>Value</t>
        </is>
      </c>
      <c r="D14" s="16" t="inlineStr">
        <is>
          <t>Confidence</t>
        </is>
      </c>
      <c r="E14" s="16" t="inlineStr">
        <is>
          <t>Source</t>
        </is>
      </c>
    </row>
    <row r="15">
      <c r="B15" t="inlineStr">
        <is>
          <t>Total Assets</t>
        </is>
      </c>
      <c r="C15" s="5" t="inlineStr">
        <is>
          <t>$15B</t>
        </is>
      </c>
      <c r="D15" t="inlineStr">
        <is>
          <t>HIGH</t>
        </is>
      </c>
      <c r="E15" s="35" t="inlineStr">
        <is>
          <t>Engagement context (client-provided)</t>
        </is>
      </c>
    </row>
    <row r="16">
      <c r="B16" t="inlineStr">
        <is>
          <t>Commercial Client Base</t>
        </is>
      </c>
      <c r="C16" s="5" t="inlineStr">
        <is>
          <t>8,000 businesses</t>
        </is>
      </c>
      <c r="D16" t="inlineStr">
        <is>
          <t>HIGH</t>
        </is>
      </c>
      <c r="E16" s="35" t="inlineStr">
        <is>
          <t>Engagement context (client-provided)</t>
        </is>
      </c>
    </row>
    <row r="17">
      <c r="B17" t="inlineStr">
        <is>
          <t>Revenue per Commercial Client</t>
        </is>
      </c>
      <c r="C17" s="7" t="inlineStr">
        <is>
          <t>$75,000/year</t>
        </is>
      </c>
      <c r="D17" t="inlineStr">
        <is>
          <t>MEDIUM</t>
        </is>
      </c>
      <c r="E17" s="35" t="inlineStr">
        <is>
          <t>Mid-range benchmark from commercial/benchmarks.md</t>
        </is>
      </c>
    </row>
    <row r="18">
      <c r="B18" t="inlineStr">
        <is>
          <t>Annual Revenue (Commercial)</t>
        </is>
      </c>
      <c r="C18" s="5" t="inlineStr">
        <is>
          <t>$600M</t>
        </is>
      </c>
      <c r="D18" t="inlineStr">
        <is>
          <t>HIGH</t>
        </is>
      </c>
      <c r="E18" s="35" t="inlineStr">
        <is>
          <t>Engagement context (client-provided)</t>
        </is>
      </c>
    </row>
    <row r="19">
      <c r="B19" t="inlineStr">
        <is>
          <t>Operating Costs</t>
        </is>
      </c>
      <c r="C19" s="5" t="inlineStr">
        <is>
          <t>$348M</t>
        </is>
      </c>
      <c r="D19" t="inlineStr">
        <is>
          <t>HIGH</t>
        </is>
      </c>
      <c r="E19" s="35" t="inlineStr">
        <is>
          <t>Engagement context (client-provided)</t>
        </is>
      </c>
    </row>
    <row r="20">
      <c r="B20" t="inlineStr">
        <is>
          <t>Cost-to-Income Ratio</t>
        </is>
      </c>
      <c r="C20" s="5" t="inlineStr">
        <is>
          <t>58%</t>
        </is>
      </c>
      <c r="D20" t="inlineStr">
        <is>
          <t>HIGH</t>
        </is>
      </c>
      <c r="E20" s="35" t="inlineStr">
        <is>
          <t>Derived from $348M / $600M</t>
        </is>
      </c>
    </row>
    <row r="21">
      <c r="B21" t="inlineStr">
        <is>
          <t>Total FTE</t>
        </is>
      </c>
      <c r="C21" s="5" t="inlineStr">
        <is>
          <t>530</t>
        </is>
      </c>
      <c r="D21" t="inlineStr">
        <is>
          <t>HIGH</t>
        </is>
      </c>
      <c r="E21" s="35" t="inlineStr">
        <is>
          <t>Engagement context (client-provided)</t>
        </is>
      </c>
    </row>
    <row r="22">
      <c r="B22" t="inlineStr">
        <is>
          <t>Average FTE Rate</t>
        </is>
      </c>
      <c r="C22" s="7" t="inlineStr">
        <is>
          <t>$35/hr (APAC commercial banking)</t>
        </is>
      </c>
      <c r="D22" t="inlineStr">
        <is>
          <t>MEDIUM</t>
        </is>
      </c>
      <c r="E22" s="35" t="inlineStr">
        <is>
          <t>Engagement context — regional benchmark</t>
        </is>
      </c>
    </row>
    <row r="23">
      <c r="B23" t="inlineStr">
        <is>
          <t>IT Platform Ops FTEs</t>
        </is>
      </c>
      <c r="C23" s="5" t="inlineStr">
        <is>
          <t>12 dedicated to platform operations</t>
        </is>
      </c>
      <c r="D23" t="inlineStr">
        <is>
          <t>HIGH</t>
        </is>
      </c>
      <c r="E23" s="35" t="inlineStr">
        <is>
          <t>Engagement context (client-provided)</t>
        </is>
      </c>
    </row>
    <row r="24">
      <c r="B24" t="inlineStr">
        <is>
          <t>Loaded Annual FTE Cost</t>
        </is>
      </c>
      <c r="C24" s="7" t="inlineStr">
        <is>
          <t>$72,800</t>
        </is>
      </c>
      <c r="D24" t="inlineStr">
        <is>
          <t>MEDIUM</t>
        </is>
      </c>
      <c r="E24" s="35" t="inlineStr">
        <is>
          <t>Derived: $35/hr x 2,080 hrs/year</t>
        </is>
      </c>
    </row>
    <row r="26">
      <c r="B26" s="13" t="inlineStr">
        <is>
          <t>ADDITIONAL CONTEXT (Annual Report / Market Research)</t>
        </is>
      </c>
    </row>
    <row r="27">
      <c r="B27" s="16" t="inlineStr">
        <is>
          <t>Metric</t>
        </is>
      </c>
      <c r="C27" s="16" t="inlineStr">
        <is>
          <t>Value</t>
        </is>
      </c>
      <c r="D27" s="16" t="inlineStr">
        <is>
          <t>Confidence</t>
        </is>
      </c>
      <c r="E27" s="16" t="inlineStr">
        <is>
          <t>Source</t>
        </is>
      </c>
    </row>
    <row r="28">
      <c r="B28" t="inlineStr">
        <is>
          <t>Hosting Model</t>
        </is>
      </c>
      <c r="C28" s="5" t="inlineStr">
        <is>
          <t>Self-hosted (on-premise or private cloud)</t>
        </is>
      </c>
      <c r="D28" t="inlineStr">
        <is>
          <t>HIGH</t>
        </is>
      </c>
      <c r="E28" s="35" t="inlineStr">
        <is>
          <t>Engagement context</t>
        </is>
      </c>
    </row>
    <row r="29">
      <c r="B29" t="inlineStr">
        <is>
          <t>Platform Scope</t>
        </is>
      </c>
      <c r="C29" s="7" t="inlineStr">
        <is>
          <t>Commercial Banking LOB digital banking platform</t>
        </is>
      </c>
      <c r="D29" t="inlineStr">
        <is>
          <t>MEDIUM</t>
        </is>
      </c>
      <c r="E29" s="35" t="inlineStr">
        <is>
          <t>Engagement context — assumed single-LOB</t>
        </is>
      </c>
    </row>
    <row r="30">
      <c r="B30" t="inlineStr">
        <is>
          <t>Digital Adoption Rate</t>
        </is>
      </c>
      <c r="C30" s="6" t="inlineStr">
        <is>
          <t>30-50% (Average benchmark)</t>
        </is>
      </c>
      <c r="D30" t="inlineStr">
        <is>
          <t>LOW</t>
        </is>
      </c>
      <c r="E30" s="35" t="inlineStr">
        <is>
          <t>commercial/benchmarks.md — Portal Adoption Average</t>
        </is>
      </c>
    </row>
    <row r="31">
      <c r="B31" t="inlineStr">
        <is>
          <t>Current Uptime</t>
        </is>
      </c>
      <c r="C31" s="6" t="inlineStr">
        <is>
          <t>~99.0% estimated (87.6 hrs downtime/yr)</t>
        </is>
      </c>
      <c r="D31" t="inlineStr">
        <is>
          <t>LOW</t>
        </is>
      </c>
      <c r="E31" s="35" t="inlineStr">
        <is>
          <t>Industry pattern for self-hosted Tier 2 banks in SEA</t>
        </is>
      </c>
    </row>
    <row r="32">
      <c r="B32" t="inlineStr">
        <is>
          <t>Release Cycle Time</t>
        </is>
      </c>
      <c r="C32" s="6" t="inlineStr">
        <is>
          <t>4-8 weeks per deployment</t>
        </is>
      </c>
      <c r="D32" t="inlineStr">
        <is>
          <t>LOW</t>
        </is>
      </c>
      <c r="E32" s="35" t="inlineStr">
        <is>
          <t>Industry pattern for self-hosted Tier 2 banks</t>
        </is>
      </c>
    </row>
    <row r="33">
      <c r="B33" t="inlineStr">
        <is>
          <t>Country</t>
        </is>
      </c>
      <c r="C33" s="6" t="inlineStr">
        <is>
          <t>Not specified (generic SEA)</t>
        </is>
      </c>
      <c r="D33" t="inlineStr">
        <is>
          <t>LOW</t>
        </is>
      </c>
      <c r="E33" s="35" t="inlineStr">
        <is>
          <t>Engagement context — country not confirmed</t>
        </is>
      </c>
    </row>
    <row r="35">
      <c r="B35" s="13" t="inlineStr">
        <is>
          <t>DATA GAPS</t>
        </is>
      </c>
    </row>
    <row r="36">
      <c r="B36" s="16" t="inlineStr">
        <is>
          <t>Data Needed</t>
        </is>
      </c>
      <c r="C36" s="16" t="inlineStr">
        <is>
          <t>Priority</t>
        </is>
      </c>
      <c r="D36" s="16" t="inlineStr">
        <is>
          <t>Impact</t>
        </is>
      </c>
      <c r="E36" s="16" t="inlineStr">
        <is>
          <t>Where to Obtain</t>
        </is>
      </c>
    </row>
    <row r="37">
      <c r="B37" t="inlineStr">
        <is>
          <t>Specific country within Southeast Asia (affects FTE rates, regulations)</t>
        </is>
      </c>
      <c r="C37" s="50" t="inlineStr">
        <is>
          <t>HIGH</t>
        </is>
      </c>
      <c r="D37" s="35" t="inlineStr">
        <is>
          <t>Required</t>
        </is>
      </c>
      <c r="E37" s="35" t="inlineStr">
        <is>
          <t>Client/CIO</t>
        </is>
      </c>
    </row>
    <row r="38">
      <c r="B38" t="inlineStr">
        <is>
          <t>Managed Hosting fee from Backbase proposal (needed for net cost comparison)</t>
        </is>
      </c>
      <c r="C38" s="50" t="inlineStr">
        <is>
          <t>HIGH</t>
        </is>
      </c>
      <c r="D38" s="35" t="inlineStr">
        <is>
          <t>Required</t>
        </is>
      </c>
      <c r="E38" s="35" t="inlineStr">
        <is>
          <t>Client/CIO</t>
        </is>
      </c>
    </row>
    <row r="39">
      <c r="B39" t="inlineStr">
        <is>
          <t>Itemized annual infrastructure license and tooling costs</t>
        </is>
      </c>
      <c r="C39" s="50" t="inlineStr">
        <is>
          <t>HIGH</t>
        </is>
      </c>
      <c r="D39" s="35" t="inlineStr">
        <is>
          <t>Required</t>
        </is>
      </c>
      <c r="E39" s="35" t="inlineStr">
        <is>
          <t>Client/CIO</t>
        </is>
      </c>
    </row>
    <row r="40">
      <c r="B40" t="inlineStr">
        <is>
          <t>Annual unplanned downtime hours on self-hosted platform</t>
        </is>
      </c>
      <c r="C40" s="50" t="inlineStr">
        <is>
          <t>HIGH</t>
        </is>
      </c>
      <c r="D40" s="35" t="inlineStr">
        <is>
          <t>Required</t>
        </is>
      </c>
      <c r="E40" s="35" t="inlineStr">
        <is>
          <t>Client/CIO</t>
        </is>
      </c>
    </row>
    <row r="41">
      <c r="B41" t="inlineStr">
        <is>
          <t>Security team size and allocation to platform infrastructure</t>
        </is>
      </c>
      <c r="C41" s="50" t="inlineStr">
        <is>
          <t>HIGH</t>
        </is>
      </c>
      <c r="D41" s="35" t="inlineStr">
        <is>
          <t>Required</t>
        </is>
      </c>
      <c r="E41" s="35" t="inlineStr">
        <is>
          <t>Client/CIO</t>
        </is>
      </c>
    </row>
    <row r="42">
      <c r="B42" t="inlineStr">
        <is>
          <t>Annual audit and penetration testing costs</t>
        </is>
      </c>
      <c r="C42" s="50" t="inlineStr">
        <is>
          <t>HIGH</t>
        </is>
      </c>
      <c r="D42" s="35" t="inlineStr">
        <is>
          <t>Required</t>
        </is>
      </c>
      <c r="E42" s="35" t="inlineStr">
        <is>
          <t>Client/CIO</t>
        </is>
      </c>
    </row>
    <row r="43">
      <c r="B43" t="inlineStr">
        <is>
          <t>Historical platform upgrade project costs</t>
        </is>
      </c>
      <c r="C43" s="50" t="inlineStr">
        <is>
          <t>HIGH</t>
        </is>
      </c>
      <c r="D43" s="35" t="inlineStr">
        <is>
          <t>Required</t>
        </is>
      </c>
      <c r="E43" s="35" t="inlineStr">
        <is>
          <t>Client/CIO</t>
        </is>
      </c>
    </row>
    <row r="44">
      <c r="B44" t="inlineStr">
        <is>
          <t>FTE disposition preference (redeployment vs. headcount reduction)</t>
        </is>
      </c>
      <c r="C44" s="50" t="inlineStr">
        <is>
          <t>HIGH</t>
        </is>
      </c>
      <c r="D44" s="35" t="inlineStr">
        <is>
          <t>Required</t>
        </is>
      </c>
      <c r="E44" s="35" t="inlineStr">
        <is>
          <t>Client/CIO</t>
        </is>
      </c>
    </row>
    <row r="45">
      <c r="B45" t="inlineStr">
        <is>
          <t>Whether platform serves multiple LOBs or commercial only</t>
        </is>
      </c>
      <c r="C45" s="50" t="inlineStr">
        <is>
          <t>HIGH</t>
        </is>
      </c>
      <c r="D45" s="35" t="inlineStr">
        <is>
          <t>Required</t>
        </is>
      </c>
      <c r="E45" s="35" t="inlineStr">
        <is>
          <t>Client/CIO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1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5" customWidth="1" min="4" max="4"/>
    <col width="12" customWidth="1" min="5" max="5"/>
    <col width="50" customWidth="1" min="6" max="6"/>
    <col width="20" customWidth="1" min="7" max="7"/>
    <col width="35" customWidth="1" min="8" max="8"/>
  </cols>
  <sheetData>
    <row r="1">
      <c r="B1" s="9" t="inlineStr">
        <is>
          <t>Assumptions Register</t>
        </is>
      </c>
    </row>
    <row r="3">
      <c r="B3" s="51" t="inlineStr">
        <is>
          <t>All assumptions documented with sources and validation owners</t>
        </is>
      </c>
    </row>
    <row r="5">
      <c r="B5" s="16" t="inlineStr">
        <is>
          <t>ID</t>
        </is>
      </c>
      <c r="C5" s="16" t="inlineStr">
        <is>
          <t>Assumption</t>
        </is>
      </c>
      <c r="D5" s="16" t="inlineStr">
        <is>
          <t>Value</t>
        </is>
      </c>
      <c r="E5" s="16" t="inlineStr">
        <is>
          <t>Conf.</t>
        </is>
      </c>
      <c r="F5" s="16" t="inlineStr">
        <is>
          <t>Source</t>
        </is>
      </c>
      <c r="G5" s="16" t="inlineStr">
        <is>
          <t>Owner</t>
        </is>
      </c>
      <c r="H5" s="16" t="inlineStr">
        <is>
          <t>Sensitivity</t>
        </is>
      </c>
    </row>
    <row r="6">
      <c r="B6" t="inlineStr">
        <is>
          <t>A1</t>
        </is>
      </c>
      <c r="C6" t="inlineStr">
        <is>
          <t>Loaded annual FTE cost is $72,800 ($35/hr x 2,080 hours/year)</t>
        </is>
      </c>
      <c r="D6" s="7" t="inlineStr"/>
      <c r="E6" t="inlineStr">
        <is>
          <t>MEDIUM</t>
        </is>
      </c>
      <c r="F6" s="35" t="inlineStr">
        <is>
          <t>Engagement context — APAC commercial banking rate</t>
        </is>
      </c>
      <c r="G6" t="inlineStr"/>
      <c r="H6" s="35" t="inlineStr">
        <is>
          <t>MEDIUM — L1 scales linearly; ±25% = ±$61K/yr on L1</t>
        </is>
      </c>
    </row>
    <row r="7">
      <c r="B7" t="inlineStr">
        <is>
          <t>A2</t>
        </is>
      </c>
      <c r="C7" t="inlineStr">
        <is>
          <t>12 IT platform FTEs dedicated to platform operations</t>
        </is>
      </c>
      <c r="D7" s="5" t="inlineStr"/>
      <c r="E7" t="inlineStr">
        <is>
          <t>HIGH</t>
        </is>
      </c>
      <c r="F7" s="35" t="inlineStr">
        <is>
          <t>Engagement context (client-provided)</t>
        </is>
      </c>
      <c r="G7" t="inlineStr"/>
      <c r="H7" s="35" t="inlineStr">
        <is>
          <t>HIGH — primary input for largest lever (L1)</t>
        </is>
      </c>
    </row>
    <row r="8">
      <c r="B8" t="inlineStr">
        <is>
          <t>A3</t>
        </is>
      </c>
      <c r="C8" t="inlineStr">
        <is>
          <t>2-3 FTEs retained post-MH for coordination (midpoint 2.5 used)</t>
        </is>
      </c>
      <c r="D8" s="7" t="inlineStr"/>
      <c r="E8" t="inlineStr">
        <is>
          <t>MEDIUM</t>
        </is>
      </c>
      <c r="F8" s="35" t="inlineStr">
        <is>
          <t>Industry pattern for managed hosting transitions</t>
        </is>
      </c>
      <c r="G8" t="inlineStr"/>
      <c r="H8" s="35" t="inlineStr">
        <is>
          <t>MEDIUM — each additional retained FTE reduces L1 benefit by ~$20K/yr</t>
        </is>
      </c>
    </row>
    <row r="9">
      <c r="B9" t="inlineStr">
        <is>
          <t>A4</t>
        </is>
      </c>
      <c r="C9" t="inlineStr">
        <is>
          <t>Managed Hosting fee estimated at $350,000/year</t>
        </is>
      </c>
      <c r="D9" s="6" t="inlineStr"/>
      <c r="E9" t="inlineStr">
        <is>
          <t>LOW</t>
        </is>
      </c>
      <c r="F9" s="35" t="inlineStr">
        <is>
          <t>Estimate for Tier 2 commercial platform — ACTUAL PRICING REQUIRED</t>
        </is>
      </c>
      <c r="G9" t="inlineStr"/>
      <c r="H9" s="35" t="inlineStr">
        <is>
          <t>CRITICAL — every $100K change in fee shifts net ROI by ~$380K over 5 years</t>
        </is>
      </c>
    </row>
    <row r="10">
      <c r="B10" t="inlineStr">
        <is>
          <t>A5</t>
        </is>
      </c>
      <c r="C10" t="inlineStr">
        <is>
          <t>Migration/transition cost: $500K Y1 + $200K Y2</t>
        </is>
      </c>
      <c r="D10" s="6" t="inlineStr"/>
      <c r="E10" t="inlineStr">
        <is>
          <t>LOW</t>
        </is>
      </c>
      <c r="F10" s="35" t="inlineStr">
        <is>
          <t>Estimated from typical MH migration projects</t>
        </is>
      </c>
      <c r="G10" t="inlineStr"/>
      <c r="H10" s="35" t="inlineStr">
        <is>
          <t>MEDIUM — one-time cost, impacts Y1-Y2 cash flow</t>
        </is>
      </c>
    </row>
    <row r="11">
      <c r="B11" t="inlineStr">
        <is>
          <t>A6</t>
        </is>
      </c>
      <c r="C11" t="inlineStr">
        <is>
          <t>Annual infrastructure costs estimated at $500K</t>
        </is>
      </c>
      <c r="D11" s="6" t="inlineStr"/>
      <c r="E11" t="inlineStr">
        <is>
          <t>LOW</t>
        </is>
      </c>
      <c r="F11" s="35" t="inlineStr">
        <is>
          <t>Industry estimate for self-hosted Tier 2 bank platform ($400K-$600K range)</t>
        </is>
      </c>
      <c r="G11" t="inlineStr"/>
      <c r="H11" s="35" t="inlineStr">
        <is>
          <t>HIGH — L5 is a significant lever; ±$100K changes benefit by ±$24K/yr</t>
        </is>
      </c>
    </row>
    <row r="12">
      <c r="B12" t="inlineStr">
        <is>
          <t>A7</t>
        </is>
      </c>
      <c r="C12" t="inlineStr">
        <is>
          <t>Current platform uptime ~99.0% (87.6 hrs downtime/year)</t>
        </is>
      </c>
      <c r="D12" s="6" t="inlineStr"/>
      <c r="E12" t="inlineStr">
        <is>
          <t>LOW</t>
        </is>
      </c>
      <c r="F12" s="35" t="inlineStr">
        <is>
          <t>Industry pattern for self-hosted Tier 2 SEA banks</t>
        </is>
      </c>
      <c r="G12" t="inlineStr"/>
      <c r="H12" s="35" t="inlineStr">
        <is>
          <t>MEDIUM — if actual uptime is 99.5%, L3 benefit halves</t>
        </is>
      </c>
    </row>
    <row r="13">
      <c r="B13" t="inlineStr">
        <is>
          <t>A8</t>
        </is>
      </c>
      <c r="C13" t="inlineStr">
        <is>
          <t>Digital adoption rate 40% of commercial clients</t>
        </is>
      </c>
      <c r="D13" s="6" t="inlineStr"/>
      <c r="E13" t="inlineStr">
        <is>
          <t>LOW</t>
        </is>
      </c>
      <c r="F13" s="35" t="inlineStr">
        <is>
          <t>commercial/benchmarks.md — Portal Adoption Average (30-50%)</t>
        </is>
      </c>
      <c r="G13" t="inlineStr"/>
      <c r="H13" s="35" t="inlineStr">
        <is>
          <t>LOW — only affects L3 (small lever)</t>
        </is>
      </c>
    </row>
    <row r="14">
      <c r="B14" t="inlineStr">
        <is>
          <t>A9</t>
        </is>
      </c>
      <c r="C14" t="inlineStr">
        <is>
          <t>L6 (IT Innovation Redeployment) excluded to avoid double-counting with L1</t>
        </is>
      </c>
      <c r="D14" s="5" t="inlineStr"/>
      <c r="E14" t="inlineStr">
        <is>
          <t>HIGH</t>
        </is>
      </c>
      <c r="F14" s="35" t="inlineStr">
        <is>
          <t>Lever candidates flagged L1/L6 as sharing same FTE pool</t>
        </is>
      </c>
      <c r="G14" t="inlineStr"/>
      <c r="H14" s="35" t="inlineStr">
        <is>
          <t>N/A — design decision, not estimation</t>
        </is>
      </c>
    </row>
    <row r="15">
      <c r="B15" t="inlineStr">
        <is>
          <t>A10</t>
        </is>
      </c>
      <c r="C15" t="inlineStr">
        <is>
          <t>Implementation timeline: 15 months for Managed Hosting migration</t>
        </is>
      </c>
      <c r="D15" s="7" t="inlineStr"/>
      <c r="E15" t="inlineStr">
        <is>
          <t>MEDIUM</t>
        </is>
      </c>
      <c r="F15" s="35" t="inlineStr">
        <is>
          <t>Derived from ramp_up_models.md (commercial domain, medium complexity)</t>
        </is>
      </c>
      <c r="G15" t="inlineStr"/>
      <c r="H15" s="35" t="inlineStr">
        <is>
          <t>MEDIUM — affects timing of benefits but not steady-state magnitude</t>
        </is>
      </c>
    </row>
    <row r="16">
      <c r="B16" t="inlineStr">
        <is>
          <t>A11</t>
        </is>
      </c>
      <c r="C16" t="inlineStr">
        <is>
          <t>Platform serves commercial LOB only (not multi-LOB)</t>
        </is>
      </c>
      <c r="D16" s="7" t="inlineStr"/>
      <c r="E16" t="inlineStr">
        <is>
          <t>MEDIUM</t>
        </is>
      </c>
      <c r="F16" s="35" t="inlineStr">
        <is>
          <t>Engagement context — commercial focus stated</t>
        </is>
      </c>
      <c r="G16" t="inlineStr"/>
      <c r="H16" s="35" t="inlineStr">
        <is>
          <t>HIGH — if multi-LOB, L1/L2/L5 benefits increase proportionally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F1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2" customWidth="1" min="4" max="4"/>
    <col width="35" customWidth="1" min="5" max="5"/>
    <col width="45" customWidth="1" min="6" max="6"/>
  </cols>
  <sheetData>
    <row r="1">
      <c r="B1" s="9" t="inlineStr">
        <is>
          <t>Data Gaps — Required for Validation</t>
        </is>
      </c>
    </row>
    <row r="3">
      <c r="B3" s="52" t="inlineStr">
        <is>
          <t>These data points are CRITICAL for validating the ROI model.</t>
        </is>
      </c>
    </row>
    <row r="5">
      <c r="B5" s="16" t="inlineStr">
        <is>
          <t>ID</t>
        </is>
      </c>
      <c r="C5" s="16" t="inlineStr">
        <is>
          <t>Data Needed</t>
        </is>
      </c>
      <c r="D5" s="16" t="inlineStr">
        <is>
          <t>Priority</t>
        </is>
      </c>
      <c r="E5" s="16" t="inlineStr">
        <is>
          <t>Source</t>
        </is>
      </c>
      <c r="F5" s="16" t="inlineStr">
        <is>
          <t>Impact on Model</t>
        </is>
      </c>
    </row>
    <row r="6">
      <c r="B6" t="inlineStr">
        <is>
          <t>DG1</t>
        </is>
      </c>
      <c r="C6" t="inlineStr">
        <is>
          <t>Actual Managed Hosting fee from Backbase proposal</t>
        </is>
      </c>
      <c r="D6" s="50" t="inlineStr">
        <is>
          <t>CRITICAL</t>
        </is>
      </c>
      <c r="E6" t="inlineStr"/>
      <c r="F6" s="35" t="inlineStr"/>
    </row>
    <row r="7">
      <c r="B7" t="inlineStr">
        <is>
          <t>DG2</t>
        </is>
      </c>
      <c r="C7" t="inlineStr">
        <is>
          <t>Itemized annual infrastructure license and tooling costs</t>
        </is>
      </c>
      <c r="D7" s="6" t="inlineStr">
        <is>
          <t>HIGH</t>
        </is>
      </c>
      <c r="E7" t="inlineStr"/>
      <c r="F7" s="35" t="inlineStr"/>
    </row>
    <row r="8">
      <c r="B8" t="inlineStr">
        <is>
          <t>DG3</t>
        </is>
      </c>
      <c r="C8" t="inlineStr">
        <is>
          <t>Annual unplanned downtime hours on self-hosted platform</t>
        </is>
      </c>
      <c r="D8" s="6" t="inlineStr">
        <is>
          <t>HIGH</t>
        </is>
      </c>
      <c r="E8" t="inlineStr"/>
      <c r="F8" s="35" t="inlineStr"/>
    </row>
    <row r="9">
      <c r="B9" t="inlineStr">
        <is>
          <t>DG4</t>
        </is>
      </c>
      <c r="C9" t="inlineStr">
        <is>
          <t>Security team allocation to platform infrastructure</t>
        </is>
      </c>
      <c r="D9" t="inlineStr">
        <is>
          <t>MEDIUM</t>
        </is>
      </c>
      <c r="E9" t="inlineStr"/>
      <c r="F9" s="35" t="inlineStr"/>
    </row>
    <row r="10">
      <c r="B10" t="inlineStr">
        <is>
          <t>DG5</t>
        </is>
      </c>
      <c r="C10" t="inlineStr">
        <is>
          <t>Historical platform upgrade project costs</t>
        </is>
      </c>
      <c r="D10" t="inlineStr">
        <is>
          <t>MEDIUM</t>
        </is>
      </c>
      <c r="E10" t="inlineStr"/>
      <c r="F10" s="35" t="inlineStr"/>
    </row>
    <row r="11">
      <c r="B11" t="inlineStr">
        <is>
          <t>DG6</t>
        </is>
      </c>
      <c r="C11" t="inlineStr">
        <is>
          <t>Specific country within Southeast Asia</t>
        </is>
      </c>
      <c r="D11" t="inlineStr">
        <is>
          <t>MEDIUM</t>
        </is>
      </c>
      <c r="E11" t="inlineStr"/>
      <c r="F11" s="35" t="inlineStr"/>
    </row>
    <row r="12">
      <c r="B12" t="inlineStr">
        <is>
          <t>DG7</t>
        </is>
      </c>
      <c r="C12" t="inlineStr">
        <is>
          <t>FTE disposition preference (redeployment vs. headcount reduction)</t>
        </is>
      </c>
      <c r="D12" t="inlineStr">
        <is>
          <t>MEDIUM</t>
        </is>
      </c>
      <c r="E12" t="inlineStr"/>
      <c r="F12" s="35" t="inlineStr"/>
    </row>
    <row r="13">
      <c r="B13" t="inlineStr">
        <is>
          <t>DG8</t>
        </is>
      </c>
      <c r="C13" t="inlineStr">
        <is>
          <t>Platform scope (commercial only vs. multi-LOB)</t>
        </is>
      </c>
      <c r="D13" t="inlineStr">
        <is>
          <t>MEDIUM</t>
        </is>
      </c>
      <c r="E13" t="inlineStr"/>
      <c r="F13" s="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2026-04-07T09:12:11Z</dcterms:created>
  <dcterms:modified xmlns:dcterms="http://purl.org/dc/terms/" xmlns:xsi="http://www.w3.org/2001/XMLSchema-instance" xsi:type="dcterms:W3CDTF">2026-04-07T09:12:11Z</dcterms:modified>
</cp:coreProperties>
</file>